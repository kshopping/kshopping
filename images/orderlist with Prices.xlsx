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UYNJIN PARK\OneDrive\바탕 화면\쇼핑몰관련\태국 컴퓨터 관련\"/>
    </mc:Choice>
  </mc:AlternateContent>
  <x:bookViews>
    <x:workbookView xWindow="0" yWindow="0" windowWidth="28545" windowHeight="11820" tabRatio="500"/>
  </x:bookViews>
  <x:sheets>
    <x:sheet name="Sheet1" sheetId="1" r:id="rId4"/>
    <x:sheet name="Sheet1 (2)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<x:sst xmlns:r="http://schemas.openxmlformats.org/officeDocument/2006/relationships" xmlns:c="http://schemas.openxmlformats.org/drawingml/2006/chart" xmlns:x="http://schemas.openxmlformats.org/spreadsheetml/2006/main" count="172" uniqueCount="130">
  <x:si>
    <x:t>Intel Core i7‑9700F 3.0GHz, GTX 1660 Ti 6GB, 16GB DDR4, 240GB SSD + 1TB HDD, WiFi, Windows 10 Home, Black</x:t>
  </x:si>
  <x:si>
    <x:t>i7-8565U up to 4.6GHz, 16GB 2133MHz, 1TB PCIe SSD, 13.3" 4K UHD (3840x2160) InfinityEdge Touch</x:t>
  </x:si>
  <x:si>
    <x:t>Intel i5-7200U, 8GB DDR4, 256GB PCIe NVMe M.2 SSD, WiFi AC, Bluetooth, Type C, HDMI, VGA, Ethernet, Webcam, Windows 10 Pro</x:t>
  </x:si>
  <x:si>
    <x:t>Intel i7-8565U Quad Core, 512GB SSD, 16GB RAM, Win 10 Pro HP Installed, 17.3" FHD Touch, Nvidia 4GB DDR5 MX250 (512GB SSD)</x:t>
  </x:si>
  <x:si>
    <x:t>Intel i7‑9750H 6‑Core, GeForce RTX 2080 Max‑Q, 15.6" FHD 240Hz, 16GB RAM, 2TB SSD, CNC Aluminum, Chroma RGB, Thunderbolt 3</x:t>
  </x:si>
  <x:si>
    <x:t>500s Slim S730-13IWL (i7-8565U, 13.3")</x:t>
  </x:si>
  <x:si>
    <x:t>Pavilion Flagship 15.6" FHD IPS Touch</x:t>
  </x:si>
  <x:si>
    <x:t>Mid 2019, 15", i9 2.4GHz, Pro Vega 20, 32GB RAM, 1TB SSD, Space Gray</x:t>
  </x:si>
  <x:si>
    <x:t>10th generation; Brand New: 1 Year HP Warranty; 3.6-4.1GHz max boost; 8GB DDR4 2400MHz; 512GB SSD; 15" (1366x768) HD; Licensed Windows 10; +Box +Charger +Manuals +Receipt (For Warranty) +Fantech Mouse +Fantech Mouse Pad +Laptop Sleeve</x:t>
  </x:si>
  <x:si>
    <x:t>-I5 2400~2500(2ND GEN)</x:t>
  </x:si>
  <x:si>
    <x:t>Envy 17T Touch (2019)</x:t>
  </x:si>
  <x:si>
    <x:t>-1TB HARDDISK(LAPTOP)</x:t>
  </x:si>
  <x:si>
    <x:t>ENVY 13" Thin 4K Touch</x:t>
  </x:si>
  <x:si>
    <x:t>Gaming PC Element 9260</x:t>
  </x:si>
  <x:si>
    <x:t>-2TB HARDDISK(LAPTOP)</x:t>
  </x:si>
  <x:si>
    <x:t>-I5 4460~4590(4TH GEN)</x:t>
  </x:si>
  <x:si>
    <x:t>-I5 6500~6600(6TH GEN)</x:t>
  </x:si>
  <x:si>
    <x:t>-USED COMPUTER CASIN</x:t>
  </x:si>
  <x:si>
    <x:t>Memory: 8 GB; Processor: i7, 8th generation; Hard drive: 500 GB; Battery 100%; 15" Free OS; Licensed Windows 10; 1 Year HP Warranty; +Box +Charger +Manuals +Receipt (For Warranty) +Fantech Mouse +Fantech Mouse Pad +Laptop Sleeve</x:t>
  </x:si>
  <x:si>
    <x:t>8th generation; i7-8565U; 16GB; 512GB SSD; 13.3"; Licensed Windows 10; 1 Year HP Warranty; +Box +Charger +Manuals +Receipt (For Warranty) +Fantech Mouse +Fantech Mouse Pad +Laptop Sleeve</x:t>
  </x:si>
  <x:si>
    <x:t>판매가</x:t>
  </x:si>
  <x:si>
    <x:t>차액</x:t>
  </x:si>
  <x:si>
    <x:t>Intel i5-8265U, 16GB RAM, 1TB SSD, Windows 10</x:t>
  </x:si>
  <x:si>
    <x:t>Blade 15 (2019)</x:t>
  </x:si>
  <x:si>
    <x:t>-1TB HARDDISK</x:t>
  </x:si>
  <x:si>
    <x:t xml:space="preserve">Thermal Paste </x:t>
  </x:si>
  <x:si>
    <x:t>Windows 10 Home</x:t>
  </x:si>
  <x:si>
    <x:t>Iphone Cable</x:t>
  </x:si>
  <x:si>
    <x:t>VGA Cable -100</x:t>
  </x:si>
  <x:si>
    <x:t>POWER SUPPLY</x:t>
  </x:si>
  <x:si>
    <x:t>-2TB HARDDISK</x:t>
  </x:si>
  <x:si>
    <x:t>HARDDISK-LAPTOP</x:t>
  </x:si>
  <x:si>
    <x:t>MOTHER BOARD</x:t>
  </x:si>
  <x:si>
    <x:t>Windows 10 Pro</x:t>
  </x:si>
  <x:si>
    <x:t>GAMING LAPTOPS</x:t>
  </x:si>
  <x:si>
    <x:t>-500GB HARDDISK</x:t>
  </x:si>
  <x:si>
    <x:t>-4TB HARDDISK</x:t>
  </x:si>
  <x:si>
    <x:t>-3TB HARDDISK</x:t>
  </x:si>
  <x:si>
    <x:t>CPU(PROCESSOR)</x:t>
  </x:si>
  <x:si>
    <x:t>DELL LAPTOPS</x:t>
  </x:si>
  <x:si>
    <x:t>MACBOOK LAPTOPS</x:t>
  </x:si>
  <x:si>
    <x:t>8th Gen; Colors: Space Gray/black/white; macOS Mojave 10.14; 4-Core i7 2.8GHz; 16GB LPDDR3 2133; 256GB SSD; 15" 2880x1800 Retina; FaceTime HD; Wi‑Fi 802.ac; Bluetooth 4.0+EDR; 4x Thunderbolt 3, Headphone; Battery Cycle 139, FCC 6068 mAh; 2.02kg; Licensed Windows 10; 1 Year HP Warranty; +Box +Charger +Manuals +Receipt (For Warranty) +Fantech Mouse +Fantech Mouse Pad +Laptop Sleeve</x:t>
  </x:si>
  <x:si>
    <x:t>-DDR4 4GB</x:t>
  </x:si>
  <x:si>
    <x:t>-500W~700W</x:t>
  </x:si>
  <x:si>
    <x:t>SATA Cable</x:t>
  </x:si>
  <x:si>
    <x:t>Total (KRW)</x:t>
  </x:si>
  <x:si>
    <x:t>Windows 10</x:t>
  </x:si>
  <x:si>
    <x:t>Total (LKR)</x:t>
  </x:si>
  <x:si>
    <x:t>-DDR3 4GB</x:t>
  </x:si>
  <x:si>
    <x:t>Description</x:t>
  </x:si>
  <x:si>
    <x:t>-DDR3 8GB</x:t>
  </x:si>
  <x:si>
    <x:t>VGA CARDS</x:t>
  </x:si>
  <x:si>
    <x:t>XPS13 9380</x:t>
  </x:si>
  <x:si>
    <x:t>Power Cbale</x:t>
  </x:si>
  <x:si>
    <x:t>DESKTOP PC</x:t>
  </x:si>
  <x:si>
    <x:t>RAM-DESKTOP</x:t>
  </x:si>
  <x:si>
    <x:t>RAM-LAPTOP</x:t>
  </x:si>
  <x:si>
    <x:t>HP LAPTOPS</x:t>
  </x:si>
  <x:si>
    <x:t>iBUYPOWER</x:t>
  </x:si>
  <x:si>
    <x:t>KRW TO LKR</x:t>
  </x:si>
  <x:si>
    <x:t>1.6 GHz Intel Core i7-10210U; 8GB LPDDR3; 512GB NVMe PCIe M.2 SSD; 15" 1920x1080 FHD; Intel UHD Graphics; Licensed Windows 10; 1 Year HP Warranty; +Box +Charger +Manuals +Receipt (For Warranty) +Fantech Mouse +Fantech Mouse Pad +Laptop Sleeve</x:t>
  </x:si>
  <x:si>
    <x:t>Lenovo</x:t>
  </x:si>
  <x:si>
    <x:t>Dell i7</x:t>
  </x:si>
  <x:si>
    <x:t>Apple</x:t>
  </x:si>
  <x:si>
    <x:t>macOS</x:t>
  </x:si>
  <x:si>
    <x:t>Razer</x:t>
  </x:si>
  <x:si>
    <x:t>-B150</x:t>
  </x:si>
  <x:si>
    <x:t>Dell</x:t>
  </x:si>
  <x:si>
    <x:t>-2GB</x:t>
  </x:si>
  <x:si>
    <x:t>Asus</x:t>
  </x:si>
  <x:si>
    <x:t>대표모델</x:t>
  </x:si>
  <x:si>
    <x:t>-H310</x:t>
  </x:si>
  <x:si>
    <x:t>Total</x:t>
  </x:si>
  <x:si>
    <x:t>-H110</x:t>
  </x:si>
  <x:si>
    <x:t>PC-USED</x:t>
  </x:si>
  <x:si>
    <x:t>-G41</x:t>
  </x:si>
  <x:si>
    <x:t>-G31</x:t>
  </x:si>
  <x:si>
    <x:t>-H510</x:t>
  </x:si>
  <x:si>
    <x:t>-1GB</x:t>
  </x:si>
  <x:si>
    <x:t>-H81</x:t>
  </x:si>
  <x:si>
    <x:t>-H61</x:t>
  </x:si>
  <x:si>
    <x:t>-400W</x:t>
  </x:si>
  <x:si>
    <x:t>-4GB</x:t>
  </x:si>
  <x:si>
    <x:t>-H55</x:t>
  </x:si>
  <x:si>
    <x:t>-H410</x:t>
  </x:si>
  <x:si>
    <x:t>ProBook 440 G5 14" Anti-Glare HD</x:t>
  </x:si>
  <x:si>
    <x:t>Pavilion x360 14" FHD Touch 2-in-1</x:t>
  </x:si>
  <x:si>
    <x:t>Windows 10, 1년 보증(표기상 HP), 구성품 포함</x:t>
  </x:si>
  <x:si>
    <x:t>OptiPlex 7060 SFF (OP7060SFFT7G0K)</x:t>
  </x:si>
  <x:si>
    <x:t>Intel i5-8250U up to 3.4GHz, 8GB DDR4, 128GB SSD, 802.11ac, Bluetooth, USB-C, Webcam, HDMI, Fingerprint, Windows 10</x:t>
  </x:si>
  <x:si>
    <x:t>macOS Mojave, (문구상) Windows 10 라이선스 및 1년 보증 표기, 구성품 포함</x:t>
  </x:si>
  <x:si>
    <x:t>MacBook Pro 15" Touch Bar (i9 8‑Core/32GB/512GB/560X)</x:t>
  </x:si>
  <x:si>
    <x:t>Intel i5-8265U up to 3.9GHz, 8GB DDR4, 256GB SSD, Backlit KB, Fingerprint, USB-C, HDMI, Windows 10</x:t>
  </x:si>
  <x:si>
    <x:t>Inspiron 7000 13.3" FHD Touch 2-in-1</x:t>
  </x:si>
  <x:si>
    <x:t>MacBook Pro 15" 2018 (i7/16GB/256GB)</x:t>
  </x:si>
  <x:si>
    <x:t>Intel i5-8250U, 8GB DDR4, 256GB PCIe NVMe M.2 SSD, Backlit, Type-C Thunderbolt, B&amp;O Audio, HDMI, Windows 10 Pro</x:t>
  </x:si>
  <x:si>
    <x:t>15" Retina, Touch Bar, 2.3GHz 8‑Core Intel Core i9, 32GB RAM, 512GB SSD, Radeon 560X, Space Gray (Latest Model)</x:t>
  </x:si>
  <x:si>
    <x:t>Intel i7-8550U, Intel UHD 620, 8GB, 1TB HDD + 16GB Intel Optane Memory, Windows 10</x:t>
  </x:si>
  <x:si>
    <x:t>MacBook Pro 15" Touch Bar (i9 2.4GHz/Pro Vega 20/32GB/1TB)</x:t>
  </x:si>
  <x:si>
    <x:t>Intel i7-8565U, GeForce MX250, 16GB, 1TB SSD, Windows 10</x:t>
  </x:si>
  <x:si>
    <x:t>Intel Core i7‑8700 3.2GHz Hexa‑core, 16GB RAM, 256GB SSD</x:t>
  </x:si>
  <x:si>
    <x:t>Intel i7-8550U, 12GB DDR4, USB-C, Bluetooth, WiFi, Backlit KB, Windows 10, Silver (256GB SSD+1TB HDD)</x:t>
  </x:si>
  <x:si>
    <x:t>Unit Price
(LKR)</x:t>
  </x:si>
  <x:si>
    <x:t>Mouse &amp; Keyboard</x:t>
  </x:si>
  <x:si>
    <x:t>현재 스리랑카 수출 가격(FOB)</x:t>
  </x:si>
  <x:si>
    <x:t>HARDDISK-DESKTOP</x:t>
  </x:si>
  <x:si>
    <x:t>monitor 17,19inch</x:t>
  </x:si>
  <x:si>
    <x:t>Additional Products</x:t>
  </x:si>
  <x:si>
    <x:t>monitor 23-24inch</x:t>
  </x:si>
  <x:si>
    <x:t>HP i7 14s-dk0123AU</x:t>
  </x:si>
  <x:si>
    <x:t>i7-10210U 15" FHD</x:t>
  </x:si>
  <x:si>
    <x:t>Unit Price
(KRW)</x:t>
  </x:si>
  <x:si>
    <x:t>Smart Phone Cable</x:t>
  </x:si>
  <x:si>
    <x:r>
      <x:t>m</x:t>
    </x:r>
    <x:r>
      <x:rPr>
        <x:rFont val="돋움"/>
        <x:sz val="11"/>
        <x:color rgb="ff000000"/>
      </x:rPr>
      <x:t>onitor 21.5-22inch</x:t>
    </x:r>
  </x:si>
  <x:si>
    <x:t>Windows 10, 1년 보증, 구성품 포함</x:t>
  </x:si>
  <x:si>
    <x:t>Elitebook 840 G5 14" FHD</x:t>
  </x:si>
  <x:si>
    <x:t>Jan 7, 06:22 UTC · Disclaimer</x:t>
  </x:si>
  <x:si>
    <x:t>Pavilion 13-inch Light and Thin</x:t>
  </x:si>
  <x:si>
    <x:t>Pavilion 15 15.6" Touchscreen</x:t>
  </x:si>
  <x:si>
    <x:t>Cooling FAN - 2nd Gen &amp; Above</x:t>
  </x:si>
  <x:si>
    <x:t>비고</x:t>
  </x:si>
  <x:si>
    <x:t>HP</x:t>
  </x:si>
  <x:si>
    <x:t>QTY</x:t>
  </x:si>
  <x:si>
    <x:t>—</x:t>
  </x:si>
  <x:si>
    <x:t>사양</x:t>
  </x:si>
  <x:si>
    <x:t>모델명</x:t>
  </x:si>
  <x:si>
    <x:t>제조사</x:t>
  </x:si>
  <x:si>
    <x:t>가격</x:t>
  </x:si>
  <x:si>
    <x:r>
      <x:t>s</x:t>
    </x:r>
    <x:r>
      <x:rPr>
        <x:rFont val="돋움"/>
        <x:sz val="11"/>
        <x:color rgb="ff000000"/>
      </x:rPr>
      <x:t>sd</x:t>
    </x:r>
  </x:si>
  <x:si>
    <x:t>도매가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</x:si>
</x:sst>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_-* #,##0_-;\-* #,##0_-;_-* &quot;-&quot;_-;_-@"/>
    <x:numFmt numFmtId="165" formatCode="[$KRW]\ #,##0"/>
    <x:numFmt numFmtId="166" formatCode="[$LKR]\ #,##0"/>
    <x:numFmt numFmtId="167" formatCode="&quot;$&quot;#,##0_);[Red]\(&quot;$&quot;#,##0\)"/>
    <x:numFmt numFmtId="168" formatCode="_(* #,##0.00_);_(* \(#,##0.00\);_(* &quot;-&quot;??_);_(@_)"/>
  </x:numFmts>
  <x:fonts count="10"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</x:font>
    <x:font>
      <x:name val="Dotum"/>
      <x:sz val="11"/>
      <x:color rgb="ff000000"/>
      <x:b val="1"/>
    </x:font>
    <x:font>
      <x:name val="Dotum"/>
      <x:sz val="11"/>
      <x:color rgb="ffff0000"/>
    </x:font>
    <mc:AlternateContent xmlns:mc="http://schemas.openxmlformats.org/markup-compatibility/2006">
      <mc:Choice xmlns:hs="http://schemas.haansoft.com/office/spreadsheet/8.0" Requires="hs">
        <x:font hs:extension="1">
          <x:name val="Dotum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Dotum"/>
          <x:sz val="10"/>
          <x:color rgb="ff000000"/>
        </x:font>
      </mc:Fallback>
    </mc:AlternateContent>
    <x:font>
      <x:name val="돋움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</x:fills>
  <x:borders count="27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medium">
        <x:color rgb="ff000000"/>
      </x:top>
      <x:bottom style="thin">
        <x:color rgb="ff000000"/>
      </x:bottom>
    </x:border>
    <x:border>
      <x:left>
        <x:color indexed="64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medium">
        <x:color rgb="ff000000"/>
      </x:right>
      <x:top>
        <x:color indexed="64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000000"/>
      </x:top>
      <x:bottom>
        <x:color indexed="64"/>
      </x:bottom>
    </x:border>
    <x:border>
      <x:left>
        <x:color indexed="64"/>
      </x:left>
      <x:right style="medium">
        <x:color rgb="ff000000"/>
      </x:right>
      <x:top style="thin">
        <x:color rgb="ff000000"/>
      </x:top>
      <x:bottom>
        <x:color indexed="64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>
        <x:color indexed="64"/>
      </x:left>
      <x:right style="thin">
        <x:color rgb="ff000000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>
        <x:color indexed="64"/>
      </x:left>
      <x:right style="medium">
        <x:color rgb="ff000000"/>
      </x:right>
      <x:top style="thin">
        <x:color rgb="ff000000"/>
      </x:top>
      <x:bottom style="double">
        <x:color rgb="ff000000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medium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</x:border>
    <x:border>
      <x:left>
        <x:color indexed="64"/>
      </x:left>
      <x:right style="medium">
        <x:color rgb="ff000000"/>
      </x:right>
      <x:top>
        <x:color indexed="64"/>
      </x:top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9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1" xfId="0" applyNumberFormat="1" applyBorder="1">
      <x:alignment horizontal="general" vertical="center"/>
    </x:xf>
    <x:xf numFmtId="164" fontId="0" fillId="0" borderId="1" xfId="0" applyNumberFormat="1" applyBorder="1">
      <x:alignment horizontal="general" vertical="center"/>
    </x:xf>
    <x:xf numFmtId="0" fontId="0" fillId="0" borderId="2" xfId="0" applyNumberFormat="1" applyBorder="1">
      <x:alignment horizontal="general" vertical="center"/>
    </x:xf>
    <x:xf numFmtId="168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 wrapText="1"/>
        </x:xf>
      </mc:Fallback>
    </mc:AlternateContent>
    <x:xf numFmtId="168" fontId="6" fillId="0" borderId="5" xfId="0" applyNumberFormat="1" applyFont="1" applyBorder="1">
      <x:alignment horizontal="general" vertical="center"/>
    </x:xf>
    <x:xf numFmtId="0" fontId="6" fillId="0" borderId="4" xfId="0" applyNumberFormat="1" applyFont="1" applyBorder="1" applyAlignment="1">
      <x:alignment horizontal="general" vertical="center" wrapText="1"/>
    </x:xf>
    <x:xf numFmtId="0" fontId="6" fillId="0" borderId="6" xfId="0" applyNumberFormat="1" applyFont="1" applyBorder="1">
      <x:alignment horizontal="general" vertical="center"/>
    </x:xf>
    <x:xf numFmtId="0" fontId="6" fillId="0" borderId="7" xfId="0" applyNumberFormat="1" applyFont="1" applyBorder="1">
      <x:alignment horizontal="general" vertical="center"/>
    </x:xf>
    <x:xf numFmtId="0" fontId="0" fillId="0" borderId="8" xfId="0" applyNumberFormat="1" applyBorder="1">
      <x:alignment horizontal="general" vertical="center"/>
    </x:xf>
    <x:xf numFmtId="49" fontId="0" fillId="0" borderId="7" xfId="0" applyNumberFormat="1" applyBorder="1">
      <x:alignment horizontal="general" vertical="center"/>
    </x:xf>
    <x:xf numFmtId="164" fontId="0" fillId="0" borderId="8" xfId="0" applyNumberFormat="1" applyBorder="1">
      <x:alignment horizontal="general" vertical="center"/>
    </x:xf>
    <x:xf numFmtId="49" fontId="0" fillId="0" borderId="9" xfId="0" applyNumberFormat="1" applyBorder="1">
      <x:alignment horizontal="general" vertical="center"/>
    </x:xf>
    <x:xf numFmtId="164" fontId="0" fillId="0" borderId="10" xfId="0" applyNumberFormat="1" applyBorder="1">
      <x:alignment horizontal="general" vertical="center"/>
    </x:xf>
    <x:xf numFmtId="168" fontId="0" fillId="0" borderId="11" xfId="0" applyNumberFormat="1" applyBorder="1">
      <x:alignment horizontal="general" vertical="center"/>
    </x:xf>
    <x:xf numFmtId="164" fontId="0" fillId="0" borderId="12" xfId="0" applyNumberFormat="1" applyBorder="1">
      <x:alignment horizontal="general" vertical="center"/>
    </x:xf>
    <x:xf numFmtId="49" fontId="6" fillId="0" borderId="7" xfId="0" applyNumberFormat="1" applyFont="1" applyBorder="1">
      <x:alignment horizontal="general" vertical="center"/>
    </x:xf>
    <x:xf numFmtId="0" fontId="0" fillId="0" borderId="7" xfId="0" applyNumberFormat="1" applyBorder="1">
      <x:alignment horizontal="general" vertical="center"/>
    </x:xf>
    <x:xf numFmtId="0" fontId="0" fillId="0" borderId="10" xfId="0" applyNumberFormat="1" applyBorder="1">
      <x:alignment horizontal="general" vertical="center"/>
    </x:xf>
    <x:xf numFmtId="49" fontId="0" fillId="0" borderId="13" xfId="0" applyNumberFormat="1" applyBorder="1">
      <x:alignment horizontal="general" vertical="center"/>
    </x:xf>
    <x:xf numFmtId="164" fontId="0" fillId="0" borderId="2" xfId="0" applyNumberFormat="1" applyBorder="1">
      <x:alignment horizontal="general" vertical="center"/>
    </x:xf>
    <x:xf numFmtId="168" fontId="0" fillId="0" borderId="14" xfId="0" applyNumberFormat="1" applyBorder="1">
      <x:alignment horizontal="general" vertical="center"/>
    </x:xf>
    <x:xf numFmtId="164" fontId="0" fillId="0" borderId="15" xfId="0" applyNumberFormat="1" applyBorder="1">
      <x:alignment horizontal="general" vertical="center"/>
    </x:xf>
    <x:xf numFmtId="0" fontId="0" fillId="0" borderId="9" xfId="0" applyNumberFormat="1" applyBorder="1">
      <x:alignment horizontal="general" vertical="center"/>
    </x:xf>
    <x:xf numFmtId="0" fontId="6" fillId="0" borderId="13" xfId="0" applyNumberFormat="1" applyFont="1" applyBorder="1">
      <x:alignment horizontal="general" vertical="center"/>
    </x:xf>
    <x:xf numFmtId="0" fontId="0" fillId="0" borderId="13" xfId="0" applyNumberFormat="1" applyBorder="1">
      <x:alignment horizontal="general" vertical="center"/>
    </x:xf>
    <x:xf numFmtId="164" fontId="0" fillId="0" borderId="16" xfId="0" applyNumberFormat="1" applyBorder="1">
      <x:alignment horizontal="general" vertical="center"/>
    </x:xf>
    <x:xf numFmtId="164" fontId="0" fillId="0" borderId="17" xfId="0" applyNumberFormat="1" applyBorder="1">
      <x:alignment horizontal="general" vertical="center"/>
    </x:xf>
    <x:xf numFmtId="0" fontId="0" fillId="0" borderId="18" xfId="0" applyNumberFormat="1" applyBorder="1">
      <x:alignment horizontal="general" vertical="center"/>
    </x:xf>
    <x:xf numFmtId="164" fontId="0" fillId="0" borderId="18" xfId="0" applyNumberFormat="1" applyBorder="1">
      <x:alignment horizontal="general" vertical="center"/>
    </x:xf>
    <x:xf numFmtId="3" fontId="0" fillId="0" borderId="16" xfId="0" applyNumberFormat="1" applyBorder="1">
      <x:alignment horizontal="general" vertical="center"/>
    </x:xf>
    <x:xf numFmtId="3" fontId="0" fillId="0" borderId="17" xfId="0" applyNumberFormat="1" applyBorder="1">
      <x:alignment horizontal="general" vertical="center"/>
    </x:xf>
    <x:xf numFmtId="0" fontId="0" fillId="0" borderId="17" xfId="0" applyNumberFormat="1" applyBorder="1">
      <x:alignment horizontal="general" vertical="center"/>
    </x:xf>
    <x:xf numFmtId="168" fontId="0" fillId="0" borderId="8" xfId="0" applyNumberFormat="1" applyBorder="1">
      <x:alignment horizontal="general" vertical="center"/>
    </x:xf>
    <x:xf numFmtId="0" fontId="0" fillId="0" borderId="12" xfId="0" applyNumberFormat="1" applyBorder="1">
      <x:alignment horizontal="general" vertical="center"/>
    </x:xf>
    <x:xf numFmtId="165" fontId="6" fillId="0" borderId="19" xfId="0" applyNumberFormat="1" applyFont="1" applyBorder="1">
      <x:alignment horizontal="general" vertical="center"/>
    </x:xf>
    <x:xf numFmtId="166" fontId="6" fillId="0" borderId="20" xfId="0" applyNumberFormat="1" applyFont="1" applyBorder="1">
      <x:alignment horizontal="general" vertical="center"/>
    </x:xf>
    <x:xf numFmtId="0" fontId="0" fillId="0" borderId="21" xfId="0" applyNumberFormat="1" applyBorder="1">
      <x:alignment horizontal="general" vertical="center"/>
    </x:xf>
    <x:xf numFmtId="0" fontId="0" fillId="0" borderId="22" xfId="0" applyNumberFormat="1" applyBorder="1">
      <x:alignment horizontal="general" vertical="center"/>
    </x:xf>
    <x:xf numFmtId="168" fontId="0" fillId="0" borderId="23" xfId="0" applyNumberFormat="1" applyBorder="1">
      <x:alignment horizontal="general" vertical="center"/>
    </x:xf>
    <x:xf numFmtId="0" fontId="0" fillId="0" borderId="24" xfId="0" applyNumberFormat="1" applyBorder="1">
      <x:alignment horizontal="general" vertical="center"/>
    </x:xf>
    <x:xf numFmtId="0" fontId="0" fillId="0" borderId="25" xfId="0" applyNumberFormat="1" applyBorder="1">
      <x:alignment horizontal="general" vertical="center"/>
    </x:xf>
    <x:xf numFmtId="0" fontId="0" fillId="2" borderId="0" xfId="0" applyNumberFormat="1" applyFill="1">
      <x:alignment horizontal="general" vertical="center"/>
    </x:xf>
    <x:xf numFmtId="167" fontId="0" fillId="0" borderId="0" xfId="0" applyNumberFormat="1">
      <x:alignment horizontal="general" vertical="center"/>
    </x:xf>
    <x:xf numFmtId="0" fontId="8" fillId="0" borderId="26" xfId="0" applyNumberFormat="1" applyFont="1" applyBorder="1">
      <x:alignment horizontal="general" vertical="center"/>
    </x:xf>
    <x:xf numFmtId="0" fontId="8" fillId="0" borderId="0" xfId="0" applyNumberFormat="1" applyFont="1">
      <x:alignment horizontal="general" vertical="center"/>
    </x:xf>
    <x:xf numFmtId="167" fontId="8" fillId="0" borderId="26" xfId="0" applyNumberFormat="1" applyFont="1" applyBorder="1">
      <x:alignment horizontal="general" vertical="center"/>
    </x:xf>
    <x:xf numFmtId="0" fontId="8" fillId="2" borderId="26" xfId="0" applyNumberFormat="1" applyFont="1" applyFill="1" applyBorder="1">
      <x:alignment horizontal="general" vertical="center"/>
    </x:xf>
    <x:xf numFmtId="167" fontId="8" fillId="2" borderId="26" xfId="0" applyNumberFormat="1" applyFont="1" applyFill="1" applyBorder="1">
      <x:alignment horizontal="general" vertical="center"/>
    </x:xf>
    <x:xf numFmtId="0" fontId="8" fillId="2" borderId="0" xfId="0" applyNumberFormat="1" applyFont="1" applyFill="1">
      <x:alignment horizontal="general" vertical="center"/>
    </x:xf>
    <x:xf numFmtId="41" fontId="0" fillId="0" borderId="0" xfId="0" applyNumberFormat="1">
      <x:alignment horizontal="general" vertical="center"/>
    </x:xf>
    <x:xf numFmtId="41" fontId="8" fillId="0" borderId="26" xfId="0" applyNumberFormat="1" applyFont="1" applyBorder="1">
      <x:alignment horizontal="general" vertical="center"/>
    </x:xf>
    <x:xf numFmtId="41" fontId="8" fillId="2" borderId="26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8" fillId="3" borderId="26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6" xfId="0" applyNumberFormat="1" applyFont="1" applyFill="1" applyBorder="1" applyAlignment="1">
          <x:alignment horizontal="center" vertical="center"/>
        </x:xf>
      </mc:Fallback>
    </mc:AlternateContent>
    <x:xf numFmtId="41" fontId="8" fillId="3" borderId="26" xfId="0" applyNumberFormat="1" applyFont="1" applyFill="1" applyBorder="1">
      <x:alignment horizontal="general" vertical="center"/>
    </x:xf>
    <x:xf numFmtId="167" fontId="8" fillId="3" borderId="26" xfId="0" applyNumberFormat="1" applyFont="1" applyFill="1" applyBorder="1">
      <x:alignment horizontal="general" vertical="center"/>
    </x:xf>
    <x:xf numFmtId="0" fontId="0" fillId="3" borderId="0" xfId="0" applyNumberFormat="1" applyFill="1">
      <x:alignment horizontal="general" vertical="center"/>
    </x:xf>
    <x:xf numFmtId="0" fontId="8" fillId="3" borderId="0" xfId="0" applyNumberFormat="1" applyFont="1" applyFill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0"/>
  <x:sheetViews>
    <x:sheetView tabSelected="1" topLeftCell="A1" zoomScale="110" zoomScaleNormal="110" zoomScaleSheetLayoutView="75" workbookViewId="0">
      <x:selection activeCell="A2" activeCellId="0" sqref="A2:B5"/>
    </x:sheetView>
  </x:sheetViews>
  <x:sheetFormatPr defaultColWidth="12.69921875" defaultRowHeight="15" customHeight="1"/>
  <x:cols>
    <x:col min="1" max="1" width="10.796875" style="1" bestFit="1" customWidth="1"/>
    <x:col min="2" max="2" width="36.8984375" style="1" customWidth="1"/>
    <x:col min="3" max="3" width="16.109375" style="58" customWidth="1"/>
    <x:col min="4" max="4" width="16.109375" customWidth="1"/>
    <x:col min="5" max="5" width="10.77734375" bestFit="1" customWidth="1"/>
    <x:col min="6" max="6" width="10.2734375" style="55" bestFit="1" customWidth="1"/>
    <x:col min="7" max="7" width="10.77734375" style="55" bestFit="1" customWidth="1"/>
    <x:col min="8" max="8" width="6.59765625" style="1" customWidth="1"/>
    <x:col min="9" max="9" width="95.234375" style="1" bestFit="1" customWidth="1"/>
    <x:col min="10" max="10" width="25.09765625" style="1" customWidth="1"/>
    <x:col min="11" max="29" width="8.796875" style="1" customWidth="1"/>
  </x:cols>
  <x:sheetData>
    <x:row r="1" spans="1:11" s="58" customFormat="1" customHeight="1">
      <x:c r="A1" s="59" t="s">
        <x:v>126</x:v>
      </x:c>
      <x:c r="B1" s="59" t="s">
        <x:v>125</x:v>
      </x:c>
      <x:c r="C1" s="59"/>
      <x:c r="D1" s="59" t="s">
        <x:v>20</x:v>
      </x:c>
      <x:c r="E1" s="59" t="s">
        <x:v>21</x:v>
      </x:c>
      <x:c r="F1" s="61" t="s">
        <x:v>129</x:v>
      </x:c>
      <x:c r="G1" s="61"/>
      <x:c r="H1" s="59" t="s">
        <x:v>127</x:v>
      </x:c>
      <x:c r="I1" s="59" t="s">
        <x:v>124</x:v>
      </x:c>
      <x:c r="J1" s="62" t="s">
        <x:v>120</x:v>
      </x:c>
      <x:c r="K1" s="62"/>
    </x:row>
    <x:row r="2" spans="1:11" ht="14.25" customHeight="1">
      <x:c r="A2" s="52" t="s">
        <x:v>67</x:v>
      </x:c>
      <x:c r="B2" s="52" t="s">
        <x:v>62</x:v>
      </x:c>
      <x:c r="C2" s="60" t="s">
        <x:v>70</x:v>
      </x:c>
      <x:c r="D2" s="52"/>
      <x:c r="E2" s="57">
        <x:f>F2-G2</x:f>
        <x:v>101500</x:v>
      </x:c>
      <x:c r="F2" s="57">
        <x:v>250000</x:v>
      </x:c>
      <x:c r="G2" s="57">
        <x:f>((H2*1500)+((H2*1500)*10%))</x:f>
        <x:v>148500</x:v>
      </x:c>
      <x:c r="H2" s="53">
        <x:v>90</x:v>
      </x:c>
      <x:c r="I2" s="52" t="s">
        <x:v>18</x:v>
      </x:c>
      <x:c r="J2" s="50" t="s">
        <x:v>87</x:v>
      </x:c>
      <x:c r="K2" s="50"/>
    </x:row>
    <x:row r="3" spans="1:11" s="47" customFormat="1" ht="14.25" customHeight="1">
      <x:c r="A3" s="52" t="s">
        <x:v>121</x:v>
      </x:c>
      <x:c r="B3" s="52" t="s">
        <x:v>109</x:v>
      </x:c>
      <x:c r="C3" s="60" t="s">
        <x:v>70</x:v>
      </x:c>
      <x:c r="D3" s="52"/>
      <x:c r="E3" s="57">
        <x:f t="shared" ref="E3:E28" si="0">F3-G3</x:f>
        <x:v>81500</x:v>
      </x:c>
      <x:c r="F3" s="57">
        <x:v>230000</x:v>
      </x:c>
      <x:c r="G3" s="57">
        <x:f t="shared" ref="G3:G28" si="1">((H3*1500)+((H3*1500)*10%))</x:f>
        <x:v>148500</x:v>
      </x:c>
      <x:c r="H3" s="53">
        <x:v>90</x:v>
      </x:c>
      <x:c r="I3" s="52" t="s">
        <x:v>8</x:v>
      </x:c>
      <x:c r="J3" s="54" t="s">
        <x:v>114</x:v>
      </x:c>
      <x:c r="K3" s="54"/>
    </x:row>
    <x:row r="4" spans="1:11" ht="14.25" customHeight="1">
      <x:c r="A4" s="52" t="s">
        <x:v>61</x:v>
      </x:c>
      <x:c r="B4" s="52" t="s">
        <x:v>5</x:v>
      </x:c>
      <x:c r="C4" s="60" t="s">
        <x:v>70</x:v>
      </x:c>
      <x:c r="D4" s="52"/>
      <x:c r="E4" s="57">
        <x:f t="shared" si="0"/>
        <x:v>94500</x:v>
      </x:c>
      <x:c r="F4" s="57">
        <x:v>210000</x:v>
      </x:c>
      <x:c r="G4" s="57">
        <x:f t="shared" si="1"/>
        <x:v>115500</x:v>
      </x:c>
      <x:c r="H4" s="53">
        <x:v>70</x:v>
      </x:c>
      <x:c r="I4" s="52" t="s">
        <x:v>19</x:v>
      </x:c>
      <x:c r="J4" s="50" t="s">
        <x:v>87</x:v>
      </x:c>
      <x:c r="K4" s="50"/>
    </x:row>
    <x:row r="5" spans="1:11" s="47" customFormat="1" ht="14.25" customHeight="1">
      <x:c r="A5" s="52" t="s">
        <x:v>69</x:v>
      </x:c>
      <x:c r="B5" s="52" t="s">
        <x:v>110</x:v>
      </x:c>
      <x:c r="C5" s="60" t="s">
        <x:v>70</x:v>
      </x:c>
      <x:c r="D5" s="52"/>
      <x:c r="E5" s="57">
        <x:f t="shared" si="0"/>
        <x:v>164500</x:v>
      </x:c>
      <x:c r="F5" s="57">
        <x:v>280000</x:v>
      </x:c>
      <x:c r="G5" s="57">
        <x:f t="shared" si="1"/>
        <x:v>115500</x:v>
      </x:c>
      <x:c r="H5" s="53">
        <x:v>70</x:v>
      </x:c>
      <x:c r="I5" s="52" t="s">
        <x:v>60</x:v>
      </x:c>
      <x:c r="J5" s="54" t="s">
        <x:v>87</x:v>
      </x:c>
      <x:c r="K5" s="54"/>
    </x:row>
    <x:row r="6" spans="1:11" s="47" customFormat="1" ht="14.25" customHeight="1">
      <x:c r="A6" s="63"/>
      <x:c r="B6" s="63"/>
      <x:c r="C6" s="64"/>
      <x:c r="D6" s="63"/>
      <x:c r="E6" s="65"/>
      <x:c r="F6" s="65"/>
      <x:c r="G6" s="65"/>
      <x:c r="H6" s="66"/>
      <x:c r="I6" s="63"/>
      <x:c r="J6" s="54"/>
      <x:c r="K6" s="54"/>
    </x:row>
    <x:row r="7" spans="1:11" s="47" customFormat="1" ht="14.25" customHeight="1">
      <x:c r="A7" s="63"/>
      <x:c r="B7" s="63"/>
      <x:c r="C7" s="64"/>
      <x:c r="D7" s="63"/>
      <x:c r="E7" s="65"/>
      <x:c r="F7" s="65"/>
      <x:c r="G7" s="65"/>
      <x:c r="H7" s="66"/>
      <x:c r="I7" s="63"/>
      <x:c r="J7" s="54"/>
      <x:c r="K7" s="54"/>
    </x:row>
    <x:row r="8" spans="1:11" s="47" customFormat="1" ht="14.25" customHeight="1">
      <x:c r="A8" s="63"/>
      <x:c r="B8" s="63"/>
      <x:c r="C8" s="64"/>
      <x:c r="D8" s="63"/>
      <x:c r="E8" s="65"/>
      <x:c r="F8" s="65"/>
      <x:c r="G8" s="65"/>
      <x:c r="H8" s="66"/>
      <x:c r="I8" s="63"/>
      <x:c r="J8" s="54"/>
      <x:c r="K8" s="54"/>
    </x:row>
    <x:row r="9" spans="1:11" s="47" customFormat="1" ht="14.25" customHeight="1">
      <x:c r="A9" s="63"/>
      <x:c r="B9" s="63"/>
      <x:c r="C9" s="64"/>
      <x:c r="D9" s="63"/>
      <x:c r="E9" s="65"/>
      <x:c r="F9" s="65"/>
      <x:c r="G9" s="65"/>
      <x:c r="H9" s="66"/>
      <x:c r="I9" s="63"/>
      <x:c r="J9" s="54"/>
      <x:c r="K9" s="54"/>
    </x:row>
    <x:row r="10" spans="1:11" s="47" customFormat="1" ht="14.25" customHeight="1">
      <x:c r="A10" s="63"/>
      <x:c r="B10" s="63"/>
      <x:c r="C10" s="64"/>
      <x:c r="D10" s="63"/>
      <x:c r="E10" s="65"/>
      <x:c r="F10" s="65"/>
      <x:c r="G10" s="65"/>
      <x:c r="H10" s="66"/>
      <x:c r="I10" s="63"/>
      <x:c r="J10" s="54"/>
      <x:c r="K10" s="54"/>
    </x:row>
    <x:row r="11" spans="1:11" s="47" customFormat="1" ht="14.25" customHeight="1">
      <x:c r="A11" s="63"/>
      <x:c r="B11" s="63"/>
      <x:c r="C11" s="64"/>
      <x:c r="D11" s="63"/>
      <x:c r="E11" s="65"/>
      <x:c r="F11" s="65"/>
      <x:c r="G11" s="65"/>
      <x:c r="H11" s="66"/>
      <x:c r="I11" s="63"/>
      <x:c r="J11" s="54"/>
      <x:c r="K11" s="54"/>
    </x:row>
    <x:row r="12" spans="1:11" s="47" customFormat="1" ht="14.25" customHeight="1">
      <x:c r="A12" s="63"/>
      <x:c r="B12" s="63"/>
      <x:c r="C12" s="64"/>
      <x:c r="D12" s="63"/>
      <x:c r="E12" s="65"/>
      <x:c r="F12" s="65"/>
      <x:c r="G12" s="65"/>
      <x:c r="H12" s="66"/>
      <x:c r="I12" s="63"/>
      <x:c r="J12" s="54"/>
      <x:c r="K12" s="54"/>
    </x:row>
    <x:row r="13" spans="1:11" ht="14.25" customHeight="1">
      <x:c r="A13" s="49" t="s">
        <x:v>63</x:v>
      </x:c>
      <x:c r="B13" s="49" t="s">
        <x:v>94</x:v>
      </x:c>
      <x:c r="C13" s="59" t="s">
        <x:v>70</x:v>
      </x:c>
      <x:c r="D13" s="49"/>
      <x:c r="E13" s="56">
        <x:f t="shared" si="0"/>
        <x:v>72000</x:v>
      </x:c>
      <x:c r="F13" s="56">
        <x:v>270000</x:v>
      </x:c>
      <x:c r="G13" s="56">
        <x:f t="shared" si="1"/>
        <x:v>198000</x:v>
      </x:c>
      <x:c r="H13" s="51">
        <x:v>120</x:v>
      </x:c>
      <x:c r="I13" s="49" t="s">
        <x:v>41</x:v>
      </x:c>
      <x:c r="J13" s="50" t="s">
        <x:v>90</x:v>
      </x:c>
      <x:c r="K13" s="50"/>
    </x:row>
    <x:row r="14" spans="1:11" ht="14.25" customHeight="1">
      <x:c r="A14" s="49" t="s">
        <x:v>121</x:v>
      </x:c>
      <x:c r="B14" s="49" t="s">
        <x:v>115</x:v>
      </x:c>
      <x:c r="C14" s="59" t="s">
        <x:v>57</x:v>
      </x:c>
      <x:c r="D14" s="49"/>
      <x:c r="E14" s="56">
        <x:f t="shared" si="0"/>
        <x:v>-57500</x:v>
      </x:c>
      <x:c r="F14" s="56">
        <x:v>190000</x:v>
      </x:c>
      <x:c r="G14" s="56">
        <x:f t="shared" si="1"/>
        <x:v>247500</x:v>
      </x:c>
      <x:c r="H14" s="51">
        <x:v>150</x:v>
      </x:c>
      <x:c r="I14" s="49" t="s">
        <x:v>95</x:v>
      </x:c>
      <x:c r="J14" s="50" t="s">
        <x:v>123</x:v>
      </x:c>
      <x:c r="K14" s="50"/>
    </x:row>
    <x:row r="15" spans="1:11" ht="14.25" customHeight="1">
      <x:c r="A15" s="49" t="s">
        <x:v>121</x:v>
      </x:c>
      <x:c r="B15" s="49" t="s">
        <x:v>85</x:v>
      </x:c>
      <x:c r="C15" s="59" t="s">
        <x:v>57</x:v>
      </x:c>
      <x:c r="D15" s="49"/>
      <x:c r="E15" s="56">
        <x:f t="shared" si="0"/>
        <x:v>-89000</x:v>
      </x:c>
      <x:c r="F15" s="56">
        <x:v>175000</x:v>
      </x:c>
      <x:c r="G15" s="56">
        <x:f t="shared" si="1"/>
        <x:v>264000</x:v>
      </x:c>
      <x:c r="H15" s="51">
        <x:v>160</x:v>
      </x:c>
      <x:c r="I15" s="49" t="s">
        <x:v>2</x:v>
      </x:c>
      <x:c r="J15" s="50" t="s">
        <x:v>123</x:v>
      </x:c>
      <x:c r="K15" s="50"/>
    </x:row>
    <x:row r="16" spans="1:11" ht="14.25" customHeight="1">
      <x:c r="A16" s="49" t="s">
        <x:v>121</x:v>
      </x:c>
      <x:c r="B16" s="49" t="s">
        <x:v>117</x:v>
      </x:c>
      <x:c r="C16" s="59" t="s">
        <x:v>57</x:v>
      </x:c>
      <x:c r="D16" s="49"/>
      <x:c r="E16" s="56">
        <x:f t="shared" si="0"/>
        <x:v>25000</x:v>
      </x:c>
      <x:c r="F16" s="56">
        <x:v>190000</x:v>
      </x:c>
      <x:c r="G16" s="56">
        <x:f t="shared" si="1"/>
        <x:v>165000</x:v>
      </x:c>
      <x:c r="H16" s="51">
        <x:v>100</x:v>
      </x:c>
      <x:c r="I16" s="49" t="s">
        <x:v>22</x:v>
      </x:c>
      <x:c r="J16" s="50" t="s">
        <x:v>123</x:v>
      </x:c>
      <x:c r="K16" s="50"/>
    </x:row>
    <x:row r="17" spans="1:11" ht="14.25" customHeight="1">
      <x:c r="A17" s="49" t="s">
        <x:v>121</x:v>
      </x:c>
      <x:c r="B17" s="49" t="s">
        <x:v>86</x:v>
      </x:c>
      <x:c r="C17" s="59" t="s">
        <x:v>57</x:v>
      </x:c>
      <x:c r="D17" s="49"/>
      <x:c r="E17" s="56">
        <x:f t="shared" si="0"/>
        <x:v>8500</x:v>
      </x:c>
      <x:c r="F17" s="56">
        <x:v>190000</x:v>
      </x:c>
      <x:c r="G17" s="56">
        <x:f t="shared" si="1"/>
        <x:v>181500</x:v>
      </x:c>
      <x:c r="H17" s="51">
        <x:v>110</x:v>
      </x:c>
      <x:c r="I17" s="49" t="s">
        <x:v>89</x:v>
      </x:c>
      <x:c r="J17" s="50" t="s">
        <x:v>123</x:v>
      </x:c>
      <x:c r="K17" s="50"/>
    </x:row>
    <x:row r="18" spans="1:11" ht="14.25" customHeight="1">
      <x:c r="A18" s="49" t="s">
        <x:v>121</x:v>
      </x:c>
      <x:c r="B18" s="49" t="s">
        <x:v>118</x:v>
      </x:c>
      <x:c r="C18" s="59" t="s">
        <x:v>57</x:v>
      </x:c>
      <x:c r="D18" s="49"/>
      <x:c r="E18" s="56">
        <x:f t="shared" si="0"/>
        <x:v>19000</x:v>
      </x:c>
      <x:c r="F18" s="56">
        <x:v>250000</x:v>
      </x:c>
      <x:c r="G18" s="56">
        <x:f t="shared" si="1"/>
        <x:v>231000</x:v>
      </x:c>
      <x:c r="H18" s="51">
        <x:v>140</x:v>
      </x:c>
      <x:c r="I18" s="49" t="s">
        <x:v>97</x:v>
      </x:c>
      <x:c r="J18" s="50" t="s">
        <x:v>123</x:v>
      </x:c>
      <x:c r="K18" s="50"/>
    </x:row>
    <x:row r="19" spans="1:11" ht="14.25" customHeight="1">
      <x:c r="A19" s="49" t="s">
        <x:v>121</x:v>
      </x:c>
      <x:c r="B19" s="49" t="s">
        <x:v>6</x:v>
      </x:c>
      <x:c r="C19" s="59" t="s">
        <x:v>57</x:v>
      </x:c>
      <x:c r="D19" s="49"/>
      <x:c r="E19" s="56">
        <x:f t="shared" si="0"/>
        <x:v>35500</x:v>
      </x:c>
      <x:c r="F19" s="56">
        <x:v>250000</x:v>
      </x:c>
      <x:c r="G19" s="56">
        <x:f t="shared" si="1"/>
        <x:v>214500</x:v>
      </x:c>
      <x:c r="H19" s="51">
        <x:v>130</x:v>
      </x:c>
      <x:c r="I19" s="49" t="s">
        <x:v>101</x:v>
      </x:c>
      <x:c r="J19" s="50" t="s">
        <x:v>123</x:v>
      </x:c>
      <x:c r="K19" s="50"/>
    </x:row>
    <x:row r="20" spans="1:11" ht="14.25" customHeight="1">
      <x:c r="A20" s="49" t="s">
        <x:v>121</x:v>
      </x:c>
      <x:c r="B20" s="49" t="s">
        <x:v>12</x:v>
      </x:c>
      <x:c r="C20" s="59" t="s">
        <x:v>57</x:v>
      </x:c>
      <x:c r="D20" s="49"/>
      <x:c r="E20" s="56">
        <x:f t="shared" si="0"/>
        <x:v>-14000</x:v>
      </x:c>
      <x:c r="F20" s="56">
        <x:v>250000</x:v>
      </x:c>
      <x:c r="G20" s="56">
        <x:f t="shared" si="1"/>
        <x:v>264000</x:v>
      </x:c>
      <x:c r="H20" s="51">
        <x:v>160</x:v>
      </x:c>
      <x:c r="I20" s="49" t="s">
        <x:v>99</x:v>
      </x:c>
      <x:c r="J20" s="50" t="s">
        <x:v>123</x:v>
      </x:c>
      <x:c r="K20" s="50"/>
    </x:row>
    <x:row r="21" spans="1:11" ht="14.25" customHeight="1">
      <x:c r="A21" s="49" t="s">
        <x:v>121</x:v>
      </x:c>
      <x:c r="B21" s="49" t="s">
        <x:v>10</x:v>
      </x:c>
      <x:c r="C21" s="59" t="s">
        <x:v>57</x:v>
      </x:c>
      <x:c r="D21" s="49"/>
      <x:c r="E21" s="56">
        <x:f t="shared" si="0"/>
        <x:v>-14000</x:v>
      </x:c>
      <x:c r="F21" s="56">
        <x:v>250000</x:v>
      </x:c>
      <x:c r="G21" s="56">
        <x:f t="shared" si="1"/>
        <x:v>264000</x:v>
      </x:c>
      <x:c r="H21" s="51">
        <x:v>160</x:v>
      </x:c>
      <x:c r="I21" s="49" t="s">
        <x:v>3</x:v>
      </x:c>
      <x:c r="J21" s="50" t="s">
        <x:v>123</x:v>
      </x:c>
      <x:c r="K21" s="50"/>
    </x:row>
    <x:row r="22" spans="1:11" ht="14.25" customHeight="1">
      <x:c r="A22" s="49" t="s">
        <x:v>67</x:v>
      </x:c>
      <x:c r="B22" s="49" t="s">
        <x:v>93</x:v>
      </x:c>
      <x:c r="C22" s="59" t="s">
        <x:v>39</x:v>
      </x:c>
      <x:c r="D22" s="49"/>
      <x:c r="E22" s="56">
        <x:f t="shared" si="0"/>
        <x:v>-57500</x:v>
      </x:c>
      <x:c r="F22" s="56">
        <x:v>190000</x:v>
      </x:c>
      <x:c r="G22" s="56">
        <x:f t="shared" si="1"/>
        <x:v>247500</x:v>
      </x:c>
      <x:c r="H22" s="51">
        <x:v>150</x:v>
      </x:c>
      <x:c r="I22" s="49" t="s">
        <x:v>92</x:v>
      </x:c>
      <x:c r="J22" s="50" t="s">
        <x:v>123</x:v>
      </x:c>
      <x:c r="K22" s="50"/>
    </x:row>
    <x:row r="23" spans="1:11" ht="14.25" customHeight="1">
      <x:c r="A23" s="49" t="s">
        <x:v>67</x:v>
      </x:c>
      <x:c r="B23" s="49" t="s">
        <x:v>52</x:v>
      </x:c>
      <x:c r="C23" s="59" t="s">
        <x:v>39</x:v>
      </x:c>
      <x:c r="D23" s="49"/>
      <x:c r="E23" s="56">
        <x:f t="shared" si="0"/>
        <x:v>-78350</x:v>
      </x:c>
      <x:c r="F23" s="56">
        <x:v>250000</x:v>
      </x:c>
      <x:c r="G23" s="56">
        <x:f t="shared" si="1"/>
        <x:v>328350</x:v>
      </x:c>
      <x:c r="H23" s="51">
        <x:v>199</x:v>
      </x:c>
      <x:c r="I23" s="49" t="s">
        <x:v>1</x:v>
      </x:c>
      <x:c r="J23" s="50" t="s">
        <x:v>123</x:v>
      </x:c>
      <x:c r="K23" s="50"/>
    </x:row>
    <x:row r="24" spans="1:11" s="67" customFormat="1" ht="14.25" customHeight="1">
      <x:c r="A24" s="63" t="s">
        <x:v>65</x:v>
      </x:c>
      <x:c r="B24" s="63" t="s">
        <x:v>23</x:v>
      </x:c>
      <x:c r="C24" s="64" t="s">
        <x:v>34</x:v>
      </x:c>
      <x:c r="D24" s="63"/>
      <x:c r="E24" s="65">
        <x:f t="shared" si="0"/>
        <x:v>-75000</x:v>
      </x:c>
      <x:c r="F24" s="65">
        <x:v>420000</x:v>
      </x:c>
      <x:c r="G24" s="65">
        <x:f t="shared" si="1"/>
        <x:v>495000</x:v>
      </x:c>
      <x:c r="H24" s="66">
        <x:v>300</x:v>
      </x:c>
      <x:c r="I24" s="63" t="s">
        <x:v>4</x:v>
      </x:c>
      <x:c r="J24" s="68" t="s">
        <x:v>46</x:v>
      </x:c>
      <x:c r="K24" s="68"/>
    </x:row>
    <x:row r="25" spans="1:11" s="67" customFormat="1" ht="14.25" customHeight="1">
      <x:c r="A25" s="63" t="s">
        <x:v>63</x:v>
      </x:c>
      <x:c r="B25" s="63" t="s">
        <x:v>91</x:v>
      </x:c>
      <x:c r="C25" s="64" t="s">
        <x:v>40</x:v>
      </x:c>
      <x:c r="D25" s="63"/>
      <x:c r="E25" s="65">
        <x:f t="shared" si="0"/>
        <x:v>-950000</x:v>
      </x:c>
      <x:c r="F25" s="65">
        <x:v>370000</x:v>
      </x:c>
      <x:c r="G25" s="65">
        <x:f t="shared" si="1"/>
        <x:v>1320000</x:v>
      </x:c>
      <x:c r="H25" s="66">
        <x:v>800</x:v>
      </x:c>
      <x:c r="I25" s="63" t="s">
        <x:v>96</x:v>
      </x:c>
      <x:c r="J25" s="68" t="s">
        <x:v>64</x:v>
      </x:c>
      <x:c r="K25" s="68"/>
    </x:row>
    <x:row r="26" spans="1:11" s="67" customFormat="1" ht="14.25" customHeight="1">
      <x:c r="A26" s="63" t="s">
        <x:v>63</x:v>
      </x:c>
      <x:c r="B26" s="63" t="s">
        <x:v>98</x:v>
      </x:c>
      <x:c r="C26" s="64" t="s">
        <x:v>40</x:v>
      </x:c>
      <x:c r="D26" s="63"/>
      <x:c r="E26" s="65">
        <x:f t="shared" si="0"/>
        <x:v>-1775000</x:v>
      </x:c>
      <x:c r="F26" s="65">
        <x:v>370000</x:v>
      </x:c>
      <x:c r="G26" s="65">
        <x:f t="shared" si="1"/>
        <x:v>2145000</x:v>
      </x:c>
      <x:c r="H26" s="66">
        <x:v>1300</x:v>
      </x:c>
      <x:c r="I26" s="63" t="s">
        <x:v>7</x:v>
      </x:c>
      <x:c r="J26" s="68" t="s">
        <x:v>64</x:v>
      </x:c>
      <x:c r="K26" s="68"/>
    </x:row>
    <x:row r="27" spans="1:11" ht="14.25" customHeight="1">
      <x:c r="A27" s="49" t="s">
        <x:v>67</x:v>
      </x:c>
      <x:c r="B27" s="49" t="s">
        <x:v>88</x:v>
      </x:c>
      <x:c r="C27" s="59" t="s">
        <x:v>54</x:v>
      </x:c>
      <x:c r="D27" s="49"/>
      <x:c r="E27" s="56">
        <x:f t="shared" si="0"/>
        <x:v>-407500</x:v>
      </x:c>
      <x:c r="F27" s="56">
        <x:v>170000</x:v>
      </x:c>
      <x:c r="G27" s="56">
        <x:f t="shared" si="1"/>
        <x:v>577500</x:v>
      </x:c>
      <x:c r="H27" s="51">
        <x:v>350</x:v>
      </x:c>
      <x:c r="I27" s="49" t="s">
        <x:v>100</x:v>
      </x:c>
      <x:c r="J27" s="50" t="s">
        <x:v>33</x:v>
      </x:c>
      <x:c r="K27" s="50"/>
    </x:row>
    <x:row r="28" spans="1:11" ht="14.25" customHeight="1">
      <x:c r="A28" s="49" t="s">
        <x:v>58</x:v>
      </x:c>
      <x:c r="B28" s="49" t="s">
        <x:v>13</x:v>
      </x:c>
      <x:c r="C28" s="59" t="s">
        <x:v>54</x:v>
      </x:c>
      <x:c r="D28" s="49"/>
      <x:c r="E28" s="56">
        <x:f t="shared" si="0"/>
        <x:v>-20500</x:v>
      </x:c>
      <x:c r="F28" s="56">
        <x:v>260000</x:v>
      </x:c>
      <x:c r="G28" s="56">
        <x:f t="shared" si="1"/>
        <x:v>280500</x:v>
      </x:c>
      <x:c r="H28" s="51">
        <x:v>170</x:v>
      </x:c>
      <x:c r="I28" s="49" t="s">
        <x:v>0</x:v>
      </x:c>
      <x:c r="J28" s="50" t="s">
        <x:v>26</x:v>
      </x:c>
      <x:c r="K28" s="50"/>
    </x:row>
    <x:row r="29" ht="14.25" customHeight="1"/>
    <x:row r="30" spans="3:8" ht="14.25" customHeight="1">
      <x:c r="C30" s="58" t="s">
        <x:v>72</x:v>
      </x:c>
      <x:c r="H30" s="48">
        <x:v>4819</x:v>
      </x:c>
    </x:row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</x:sheetData>
  <x:pageMargins left="0.74805557727813721" right="0.74805557727813721" top="0.98430556058883667" bottom="0.98430556058883667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000"/>
  <x:sheetViews>
    <x:sheetView showGridLines="0" topLeftCell="A37" zoomScaleNormal="100" zoomScaleSheetLayoutView="75" workbookViewId="0">
      <x:selection activeCell="A1" activeCellId="0" sqref="A1:A1"/>
    </x:sheetView>
  </x:sheetViews>
  <x:sheetFormatPr defaultColWidth="12.69921875" defaultRowHeight="15" customHeight="1"/>
  <x:cols>
    <x:col min="1" max="1" width="30.5" style="1" customWidth="1"/>
    <x:col min="2" max="3" width="9.19921875" style="1" customWidth="1"/>
    <x:col min="4" max="4" width="8.796875" style="1" customWidth="1"/>
    <x:col min="5" max="5" width="14.19921875" style="1" customWidth="1"/>
    <x:col min="6" max="6" width="19.5" style="1" customWidth="1"/>
    <x:col min="7" max="26" width="8.796875" style="1" customWidth="1"/>
  </x:cols>
  <x:sheetData>
    <x:row r="1" spans="1:4" ht="14.25" customHeight="1">
      <x:c r="A1" s="1" t="s">
        <x:v>104</x:v>
      </x:c>
      <x:c r="D1" s="5"/>
    </x:row>
    <x:row r="2" spans="1:4" ht="14.25" customHeight="1">
      <x:c r="A2" s="6" t="s">
        <x:v>59</x:v>
      </x:c>
      <x:c r="B2" s="6">
        <x:v>0.20000000000000001</x:v>
      </x:c>
      <x:c r="C2" s="7" t="s">
        <x:v>116</x:v>
      </x:c>
      <x:c r="D2" s="5"/>
    </x:row>
    <x:row r="3" spans="4:4" ht="14.25" customHeight="1">
      <x:c r="D3" s="5"/>
    </x:row>
    <x:row r="4" spans="1:6" ht="14.25" customHeight="1">
      <x:c r="A4" s="8" t="s">
        <x:v>49</x:v>
      </x:c>
      <x:c r="B4" s="9" t="s">
        <x:v>111</x:v>
      </x:c>
      <x:c r="C4" s="9" t="s">
        <x:v>102</x:v>
      </x:c>
      <x:c r="D4" s="10" t="s">
        <x:v>122</x:v>
      </x:c>
      <x:c r="E4" s="11" t="s">
        <x:v>45</x:v>
      </x:c>
      <x:c r="F4" s="12" t="s">
        <x:v>47</x:v>
      </x:c>
    </x:row>
    <x:row r="5" spans="1:6" ht="14.25" customHeight="1">
      <x:c r="A5" s="13" t="s">
        <x:v>32</x:v>
      </x:c>
      <x:c r="B5" s="2"/>
      <x:c r="C5" s="2"/>
      <x:c r="D5" s="5"/>
      <x:c r="E5" s="2"/>
      <x:c r="F5" s="14"/>
    </x:row>
    <x:row r="6" spans="1:6" ht="14.25" customHeight="1">
      <x:c r="A6" s="15" t="s">
        <x:v>76</x:v>
      </x:c>
      <x:c r="B6" s="3">
        <x:v>6000</x:v>
      </x:c>
      <x:c r="C6" s="3">
        <x:f t="shared" ref="C6:C15" si="0">B6*$B$2</x:f>
        <x:v>1200</x:v>
      </x:c>
      <x:c r="D6" s="5">
        <x:v>0</x:v>
      </x:c>
      <x:c r="E6" s="3">
        <x:f t="shared" ref="E6:E15" si="1">B6*D6</x:f>
        <x:v>0</x:v>
      </x:c>
      <x:c r="F6" s="16">
        <x:f t="shared" ref="F6:F15" si="2">D6*C6</x:f>
        <x:v>0</x:v>
      </x:c>
    </x:row>
    <x:row r="7" spans="1:6" ht="14.25" customHeight="1">
      <x:c r="A7" s="15" t="s">
        <x:v>75</x:v>
      </x:c>
      <x:c r="B7" s="3">
        <x:v>6000</x:v>
      </x:c>
      <x:c r="C7" s="3">
        <x:f t="shared" si="0"/>
        <x:v>1200</x:v>
      </x:c>
      <x:c r="D7" s="5">
        <x:v>0</x:v>
      </x:c>
      <x:c r="E7" s="3">
        <x:f t="shared" si="1"/>
        <x:v>0</x:v>
      </x:c>
      <x:c r="F7" s="16">
        <x:f t="shared" si="2"/>
        <x:v>0</x:v>
      </x:c>
    </x:row>
    <x:row r="8" spans="1:6" ht="14.25" customHeight="1">
      <x:c r="A8" s="15" t="s">
        <x:v>83</x:v>
      </x:c>
      <x:c r="B8" s="3">
        <x:v>7000</x:v>
      </x:c>
      <x:c r="C8" s="3">
        <x:f t="shared" si="0"/>
        <x:v>1400</x:v>
      </x:c>
      <x:c r="D8" s="5">
        <x:v>0</x:v>
      </x:c>
      <x:c r="E8" s="3">
        <x:f t="shared" si="1"/>
        <x:v>0</x:v>
      </x:c>
      <x:c r="F8" s="16">
        <x:f t="shared" si="2"/>
        <x:v>0</x:v>
      </x:c>
    </x:row>
    <x:row r="9" spans="1:6" ht="14.25" customHeight="1">
      <x:c r="A9" s="15" t="s">
        <x:v>80</x:v>
      </x:c>
      <x:c r="B9" s="3">
        <x:v>8000</x:v>
      </x:c>
      <x:c r="C9" s="3">
        <x:f t="shared" si="0"/>
        <x:v>1600</x:v>
      </x:c>
      <x:c r="D9" s="5">
        <x:v>20</x:v>
      </x:c>
      <x:c r="E9" s="3">
        <x:f t="shared" si="1"/>
        <x:v>160000</x:v>
      </x:c>
      <x:c r="F9" s="16">
        <x:f t="shared" si="2"/>
        <x:v>32000</x:v>
      </x:c>
    </x:row>
    <x:row r="10" spans="1:6" ht="14.25" customHeight="1">
      <x:c r="A10" s="15" t="s">
        <x:v>79</x:v>
      </x:c>
      <x:c r="B10" s="3">
        <x:v>13000</x:v>
      </x:c>
      <x:c r="C10" s="3">
        <x:f t="shared" si="0"/>
        <x:v>2600</x:v>
      </x:c>
      <x:c r="D10" s="5">
        <x:v>15</x:v>
      </x:c>
      <x:c r="E10" s="3">
        <x:f t="shared" si="1"/>
        <x:v>195000</x:v>
      </x:c>
      <x:c r="F10" s="16">
        <x:f t="shared" si="2"/>
        <x:v>39000</x:v>
      </x:c>
    </x:row>
    <x:row r="11" spans="1:6" ht="14.25" customHeight="1">
      <x:c r="A11" s="15" t="s">
        <x:v>73</x:v>
      </x:c>
      <x:c r="B11" s="3">
        <x:v>18000</x:v>
      </x:c>
      <x:c r="C11" s="3">
        <x:f t="shared" si="0"/>
        <x:v>3600</x:v>
      </x:c>
      <x:c r="D11" s="5">
        <x:v>15</x:v>
      </x:c>
      <x:c r="E11" s="3">
        <x:f t="shared" si="1"/>
        <x:v>270000</x:v>
      </x:c>
      <x:c r="F11" s="16">
        <x:f t="shared" si="2"/>
        <x:v>54000</x:v>
      </x:c>
    </x:row>
    <x:row r="12" spans="1:6" ht="14.25" customHeight="1">
      <x:c r="A12" s="15" t="s">
        <x:v>66</x:v>
      </x:c>
      <x:c r="B12" s="3">
        <x:v>22000</x:v>
      </x:c>
      <x:c r="C12" s="3">
        <x:f t="shared" si="0"/>
        <x:v>4400</x:v>
      </x:c>
      <x:c r="D12" s="5">
        <x:v>10</x:v>
      </x:c>
      <x:c r="E12" s="3">
        <x:f t="shared" si="1"/>
        <x:v>220000</x:v>
      </x:c>
      <x:c r="F12" s="16">
        <x:f t="shared" si="2"/>
        <x:v>44000</x:v>
      </x:c>
    </x:row>
    <x:row r="13" spans="1:6" ht="14.25" customHeight="1">
      <x:c r="A13" s="15" t="s">
        <x:v>71</x:v>
      </x:c>
      <x:c r="B13" s="3">
        <x:v>30000</x:v>
      </x:c>
      <x:c r="C13" s="3">
        <x:f t="shared" si="0"/>
        <x:v>6000</x:v>
      </x:c>
      <x:c r="D13" s="5">
        <x:v>10</x:v>
      </x:c>
      <x:c r="E13" s="3">
        <x:f t="shared" si="1"/>
        <x:v>300000</x:v>
      </x:c>
      <x:c r="F13" s="16">
        <x:f t="shared" si="2"/>
        <x:v>60000</x:v>
      </x:c>
    </x:row>
    <x:row r="14" spans="1:6" ht="14.25" customHeight="1">
      <x:c r="A14" s="15" t="s">
        <x:v>84</x:v>
      </x:c>
      <x:c r="B14" s="3">
        <x:v>45000</x:v>
      </x:c>
      <x:c r="C14" s="3">
        <x:f t="shared" si="0"/>
        <x:v>9000</x:v>
      </x:c>
      <x:c r="D14" s="5">
        <x:v>3</x:v>
      </x:c>
      <x:c r="E14" s="3">
        <x:f t="shared" si="1"/>
        <x:v>135000</x:v>
      </x:c>
      <x:c r="F14" s="16">
        <x:f t="shared" si="2"/>
        <x:v>27000</x:v>
      </x:c>
    </x:row>
    <x:row r="15" spans="1:6" ht="14.25" customHeight="1">
      <x:c r="A15" s="17" t="s">
        <x:v>77</x:v>
      </x:c>
      <x:c r="B15" s="18">
        <x:v>45000</x:v>
      </x:c>
      <x:c r="C15" s="18">
        <x:f t="shared" si="0"/>
        <x:v>9000</x:v>
      </x:c>
      <x:c r="D15" s="19">
        <x:v>3</x:v>
      </x:c>
      <x:c r="E15" s="18">
        <x:f t="shared" si="1"/>
        <x:v>135000</x:v>
      </x:c>
      <x:c r="F15" s="20">
        <x:f t="shared" si="2"/>
        <x:v>27000</x:v>
      </x:c>
    </x:row>
    <x:row r="16" spans="1:6" ht="14.25" customHeight="1">
      <x:c r="A16" s="15"/>
      <x:c r="B16" s="2"/>
      <x:c r="C16" s="3"/>
      <x:c r="D16" s="5"/>
      <x:c r="E16" s="3"/>
      <x:c r="F16" s="16"/>
    </x:row>
    <x:row r="17" spans="1:6" ht="14.25" customHeight="1">
      <x:c r="A17" s="21" t="s">
        <x:v>105</x:v>
      </x:c>
      <x:c r="B17" s="2"/>
      <x:c r="C17" s="3"/>
      <x:c r="D17" s="5"/>
      <x:c r="E17" s="3"/>
      <x:c r="F17" s="16"/>
    </x:row>
    <x:row r="18" spans="1:6" ht="14.25" customHeight="1">
      <x:c r="A18" s="15" t="s">
        <x:v>35</x:v>
      </x:c>
      <x:c r="B18" s="3">
        <x:v>3500</x:v>
      </x:c>
      <x:c r="C18" s="3">
        <x:f t="shared" ref="C18:C22" si="3">B18*$B$2</x:f>
        <x:v>700</x:v>
      </x:c>
      <x:c r="D18" s="5">
        <x:v>20</x:v>
      </x:c>
      <x:c r="E18" s="3">
        <x:f t="shared" ref="E18:E22" si="4">B18*D18</x:f>
        <x:v>70000</x:v>
      </x:c>
      <x:c r="F18" s="16">
        <x:f t="shared" ref="F18:F22" si="5">D18*C18</x:f>
        <x:v>14000</x:v>
      </x:c>
    </x:row>
    <x:row r="19" spans="1:6" ht="14.25" customHeight="1">
      <x:c r="A19" s="15" t="s">
        <x:v>24</x:v>
      </x:c>
      <x:c r="B19" s="3">
        <x:v>11000</x:v>
      </x:c>
      <x:c r="C19" s="3">
        <x:f t="shared" si="3"/>
        <x:v>2200</x:v>
      </x:c>
      <x:c r="D19" s="5">
        <x:v>15</x:v>
      </x:c>
      <x:c r="E19" s="3">
        <x:f t="shared" si="4"/>
        <x:v>165000</x:v>
      </x:c>
      <x:c r="F19" s="16">
        <x:f t="shared" si="5"/>
        <x:v>33000</x:v>
      </x:c>
    </x:row>
    <x:row r="20" spans="1:6" ht="14.25" customHeight="1">
      <x:c r="A20" s="15" t="s">
        <x:v>30</x:v>
      </x:c>
      <x:c r="B20" s="3">
        <x:v>18000</x:v>
      </x:c>
      <x:c r="C20" s="3">
        <x:f t="shared" si="3"/>
        <x:v>3600</x:v>
      </x:c>
      <x:c r="D20" s="5">
        <x:v>10</x:v>
      </x:c>
      <x:c r="E20" s="3">
        <x:f t="shared" si="4"/>
        <x:v>180000</x:v>
      </x:c>
      <x:c r="F20" s="16">
        <x:f t="shared" si="5"/>
        <x:v>36000</x:v>
      </x:c>
    </x:row>
    <x:row r="21" spans="1:6" ht="14.25" customHeight="1">
      <x:c r="A21" s="15" t="s">
        <x:v>37</x:v>
      </x:c>
      <x:c r="B21" s="3">
        <x:v>30000</x:v>
      </x:c>
      <x:c r="C21" s="3">
        <x:f t="shared" si="3"/>
        <x:v>6000</x:v>
      </x:c>
      <x:c r="D21" s="5">
        <x:v>5</x:v>
      </x:c>
      <x:c r="E21" s="3">
        <x:f t="shared" si="4"/>
        <x:v>150000</x:v>
      </x:c>
      <x:c r="F21" s="16">
        <x:f t="shared" si="5"/>
        <x:v>30000</x:v>
      </x:c>
    </x:row>
    <x:row r="22" spans="1:6" ht="14.25" customHeight="1">
      <x:c r="A22" s="15" t="s">
        <x:v>36</x:v>
      </x:c>
      <x:c r="B22" s="3">
        <x:v>40000</x:v>
      </x:c>
      <x:c r="C22" s="3">
        <x:f t="shared" si="3"/>
        <x:v>8000</x:v>
      </x:c>
      <x:c r="D22" s="5">
        <x:v>3</x:v>
      </x:c>
      <x:c r="E22" s="3">
        <x:f t="shared" si="4"/>
        <x:v>120000</x:v>
      </x:c>
      <x:c r="F22" s="16">
        <x:f t="shared" si="5"/>
        <x:v>24000</x:v>
      </x:c>
    </x:row>
    <x:row r="23" spans="1:6" ht="14.25" customHeight="1">
      <x:c r="A23" s="22"/>
      <x:c r="B23" s="2"/>
      <x:c r="C23" s="3"/>
      <x:c r="D23" s="5"/>
      <x:c r="E23" s="3"/>
      <x:c r="F23" s="16"/>
    </x:row>
    <x:row r="24" spans="1:6" ht="14.25" customHeight="1">
      <x:c r="A24" s="21" t="s">
        <x:v>31</x:v>
      </x:c>
      <x:c r="B24" s="2"/>
      <x:c r="C24" s="3"/>
      <x:c r="D24" s="5"/>
      <x:c r="E24" s="3"/>
      <x:c r="F24" s="16"/>
    </x:row>
    <x:row r="25" spans="1:6" ht="14.25" customHeight="1">
      <x:c r="A25" s="15" t="s">
        <x:v>11</x:v>
      </x:c>
      <x:c r="B25" s="3">
        <x:v>11000</x:v>
      </x:c>
      <x:c r="C25" s="3">
        <x:f t="shared" ref="C25:C26" si="6">B25*$B$2</x:f>
        <x:v>2200</x:v>
      </x:c>
      <x:c r="D25" s="5">
        <x:v>15</x:v>
      </x:c>
      <x:c r="E25" s="3">
        <x:f t="shared" ref="E25:E26" si="7">B25*D25</x:f>
        <x:v>165000</x:v>
      </x:c>
      <x:c r="F25" s="16">
        <x:f t="shared" ref="F25:F26" si="8">D25*C25</x:f>
        <x:v>33000</x:v>
      </x:c>
    </x:row>
    <x:row r="26" spans="1:6" ht="14.25" customHeight="1">
      <x:c r="A26" s="15" t="s">
        <x:v>14</x:v>
      </x:c>
      <x:c r="B26" s="3">
        <x:v>18000</x:v>
      </x:c>
      <x:c r="C26" s="3">
        <x:f t="shared" si="6"/>
        <x:v>3600</x:v>
      </x:c>
      <x:c r="D26" s="5">
        <x:v>5</x:v>
      </x:c>
      <x:c r="E26" s="3">
        <x:f t="shared" si="7"/>
        <x:v>90000</x:v>
      </x:c>
      <x:c r="F26" s="16">
        <x:f t="shared" si="8"/>
        <x:v>18000</x:v>
      </x:c>
    </x:row>
    <x:row r="27" spans="1:6" ht="14.25" customHeight="1">
      <x:c r="A27" s="17"/>
      <x:c r="B27" s="23"/>
      <x:c r="C27" s="18"/>
      <x:c r="D27" s="19"/>
      <x:c r="E27" s="18"/>
      <x:c r="F27" s="20"/>
    </x:row>
    <x:row r="28" spans="1:6" ht="14.25" customHeight="1">
      <x:c r="A28" s="24" t="s">
        <x:v>29</x:v>
      </x:c>
      <x:c r="B28" s="4"/>
      <x:c r="C28" s="25"/>
      <x:c r="D28" s="26"/>
      <x:c r="E28" s="25"/>
      <x:c r="F28" s="27"/>
    </x:row>
    <x:row r="29" spans="1:6" ht="14.25" customHeight="1">
      <x:c r="A29" s="15" t="s">
        <x:v>81</x:v>
      </x:c>
      <x:c r="B29" s="3">
        <x:v>2500</x:v>
      </x:c>
      <x:c r="C29" s="3">
        <x:f t="shared" ref="C29:C30" si="9">B29*$B$2</x:f>
        <x:v>500</x:v>
      </x:c>
      <x:c r="D29" s="5">
        <x:v>15</x:v>
      </x:c>
      <x:c r="E29" s="3">
        <x:f t="shared" ref="E29:E30" si="10">B29*D29</x:f>
        <x:v>37500</x:v>
      </x:c>
      <x:c r="F29" s="16">
        <x:f t="shared" ref="F29:F30" si="11">D29*C29</x:f>
        <x:v>7500</x:v>
      </x:c>
    </x:row>
    <x:row r="30" spans="1:6" ht="14.25" customHeight="1">
      <x:c r="A30" s="15" t="s">
        <x:v>43</x:v>
      </x:c>
      <x:c r="B30" s="3">
        <x:v>4000</x:v>
      </x:c>
      <x:c r="C30" s="3">
        <x:f t="shared" si="9"/>
        <x:v>800</x:v>
      </x:c>
      <x:c r="D30" s="5">
        <x:v>30</x:v>
      </x:c>
      <x:c r="E30" s="3">
        <x:f t="shared" si="10"/>
        <x:v>120000</x:v>
      </x:c>
      <x:c r="F30" s="16">
        <x:f t="shared" si="11"/>
        <x:v>24000</x:v>
      </x:c>
    </x:row>
    <x:row r="31" spans="1:6" ht="14.25" customHeight="1">
      <x:c r="A31" s="17"/>
      <x:c r="B31" s="23"/>
      <x:c r="C31" s="18"/>
      <x:c r="D31" s="19"/>
      <x:c r="E31" s="18"/>
      <x:c r="F31" s="20"/>
    </x:row>
    <x:row r="32" spans="1:6" ht="14.25" customHeight="1">
      <x:c r="A32" s="21" t="s">
        <x:v>51</x:v>
      </x:c>
      <x:c r="B32" s="2"/>
      <x:c r="C32" s="3"/>
      <x:c r="D32" s="5"/>
      <x:c r="E32" s="3"/>
      <x:c r="F32" s="16"/>
    </x:row>
    <x:row r="33" spans="1:6" ht="14.25" customHeight="1">
      <x:c r="A33" s="15" t="s">
        <x:v>78</x:v>
      </x:c>
      <x:c r="B33" s="3">
        <x:v>20000</x:v>
      </x:c>
      <x:c r="C33" s="3">
        <x:f t="shared" ref="C33:C35" si="12">B33*$B$2</x:f>
        <x:v>4000</x:v>
      </x:c>
      <x:c r="D33" s="5"/>
      <x:c r="E33" s="3">
        <x:f t="shared" ref="E33:E35" si="13">B33*D33</x:f>
        <x:v>0</x:v>
      </x:c>
      <x:c r="F33" s="16">
        <x:f t="shared" ref="F33:F35" si="14">D33*C33</x:f>
        <x:v>0</x:v>
      </x:c>
    </x:row>
    <x:row r="34" spans="1:6" ht="14.25" customHeight="1">
      <x:c r="A34" s="15" t="s">
        <x:v>68</x:v>
      </x:c>
      <x:c r="B34" s="3">
        <x:v>20000</x:v>
      </x:c>
      <x:c r="C34" s="3">
        <x:f t="shared" si="12"/>
        <x:v>4000</x:v>
      </x:c>
      <x:c r="D34" s="5">
        <x:v>10</x:v>
      </x:c>
      <x:c r="E34" s="3">
        <x:f t="shared" si="13"/>
        <x:v>200000</x:v>
      </x:c>
      <x:c r="F34" s="16">
        <x:f t="shared" si="14"/>
        <x:v>40000</x:v>
      </x:c>
    </x:row>
    <x:row r="35" spans="1:6" ht="14.25" customHeight="1">
      <x:c r="A35" s="15" t="s">
        <x:v>82</x:v>
      </x:c>
      <x:c r="B35" s="3">
        <x:v>70000</x:v>
      </x:c>
      <x:c r="C35" s="3">
        <x:f t="shared" si="12"/>
        <x:v>14000</x:v>
      </x:c>
      <x:c r="D35" s="5">
        <x:v>3</x:v>
      </x:c>
      <x:c r="E35" s="3">
        <x:f t="shared" si="13"/>
        <x:v>210000</x:v>
      </x:c>
      <x:c r="F35" s="16">
        <x:f t="shared" si="14"/>
        <x:v>42000</x:v>
      </x:c>
    </x:row>
    <x:row r="36" spans="1:6" ht="14.25" customHeight="1">
      <x:c r="A36" s="28"/>
      <x:c r="B36" s="23"/>
      <x:c r="C36" s="18"/>
      <x:c r="D36" s="19"/>
      <x:c r="E36" s="18"/>
      <x:c r="F36" s="20"/>
    </x:row>
    <x:row r="37" spans="1:6" ht="14.25" customHeight="1">
      <x:c r="A37" s="29" t="s">
        <x:v>38</x:v>
      </x:c>
      <x:c r="B37" s="4"/>
      <x:c r="C37" s="25"/>
      <x:c r="D37" s="26"/>
      <x:c r="E37" s="25"/>
      <x:c r="F37" s="27"/>
    </x:row>
    <x:row r="38" spans="1:6" ht="14.25" customHeight="1">
      <x:c r="A38" s="15" t="s">
        <x:v>9</x:v>
      </x:c>
      <x:c r="B38" s="3">
        <x:v>8000</x:v>
      </x:c>
      <x:c r="C38" s="3">
        <x:f t="shared" ref="C38:C40" si="15">B38*$B$2</x:f>
        <x:v>1600</x:v>
      </x:c>
      <x:c r="D38" s="5">
        <x:v>15</x:v>
      </x:c>
      <x:c r="E38" s="3">
        <x:f t="shared" ref="E38:E40" si="16">B38*D38</x:f>
        <x:v>120000</x:v>
      </x:c>
      <x:c r="F38" s="16">
        <x:f t="shared" ref="F38:F40" si="17">D38*C38</x:f>
        <x:v>24000</x:v>
      </x:c>
    </x:row>
    <x:row r="39" spans="1:6" ht="14.25" customHeight="1">
      <x:c r="A39" s="15" t="s">
        <x:v>15</x:v>
      </x:c>
      <x:c r="B39" s="3">
        <x:v>18000</x:v>
      </x:c>
      <x:c r="C39" s="3">
        <x:f t="shared" si="15"/>
        <x:v>3600</x:v>
      </x:c>
      <x:c r="D39" s="5">
        <x:v>10</x:v>
      </x:c>
      <x:c r="E39" s="3">
        <x:f t="shared" si="16"/>
        <x:v>180000</x:v>
      </x:c>
      <x:c r="F39" s="16">
        <x:f t="shared" si="17"/>
        <x:v>36000</x:v>
      </x:c>
    </x:row>
    <x:row r="40" spans="1:6" ht="14.25" customHeight="1">
      <x:c r="A40" s="15" t="s">
        <x:v>16</x:v>
      </x:c>
      <x:c r="B40" s="3">
        <x:v>32000</x:v>
      </x:c>
      <x:c r="C40" s="3">
        <x:f t="shared" si="15"/>
        <x:v>6400</x:v>
      </x:c>
      <x:c r="D40" s="5">
        <x:v>6</x:v>
      </x:c>
      <x:c r="E40" s="3">
        <x:f t="shared" si="16"/>
        <x:v>192000</x:v>
      </x:c>
      <x:c r="F40" s="16">
        <x:f t="shared" si="17"/>
        <x:v>38400</x:v>
      </x:c>
    </x:row>
    <x:row r="41" spans="1:6" ht="14.25" customHeight="1">
      <x:c r="A41" s="28"/>
      <x:c r="B41" s="23"/>
      <x:c r="C41" s="18"/>
      <x:c r="D41" s="19"/>
      <x:c r="E41" s="18"/>
      <x:c r="F41" s="20"/>
    </x:row>
    <x:row r="42" spans="1:6" ht="14.25" customHeight="1">
      <x:c r="A42" s="29" t="s">
        <x:v>55</x:v>
      </x:c>
      <x:c r="B42" s="4"/>
      <x:c r="C42" s="25"/>
      <x:c r="D42" s="26"/>
      <x:c r="E42" s="25"/>
      <x:c r="F42" s="27"/>
    </x:row>
    <x:row r="43" spans="1:6" ht="14.25" customHeight="1">
      <x:c r="A43" s="15" t="s">
        <x:v>48</x:v>
      </x:c>
      <x:c r="B43" s="3">
        <x:v>2500</x:v>
      </x:c>
      <x:c r="C43" s="3">
        <x:f t="shared" ref="C43:C45" si="18">B43*$B$2</x:f>
        <x:v>500</x:v>
      </x:c>
      <x:c r="D43" s="5">
        <x:v>10</x:v>
      </x:c>
      <x:c r="E43" s="3">
        <x:f t="shared" ref="E43:E45" si="19">B43*D43</x:f>
        <x:v>25000</x:v>
      </x:c>
      <x:c r="F43" s="16">
        <x:f t="shared" ref="F43:F45" si="20">D43*C43</x:f>
        <x:v>5000</x:v>
      </x:c>
    </x:row>
    <x:row r="44" spans="1:6" ht="14.25" customHeight="1">
      <x:c r="A44" s="15" t="s">
        <x:v>50</x:v>
      </x:c>
      <x:c r="B44" s="3">
        <x:v>8000</x:v>
      </x:c>
      <x:c r="C44" s="3">
        <x:f t="shared" si="18"/>
        <x:v>1600</x:v>
      </x:c>
      <x:c r="D44" s="5">
        <x:v>30</x:v>
      </x:c>
      <x:c r="E44" s="3">
        <x:f t="shared" si="19"/>
        <x:v>240000</x:v>
      </x:c>
      <x:c r="F44" s="16">
        <x:f t="shared" si="20"/>
        <x:v>48000</x:v>
      </x:c>
    </x:row>
    <x:row r="45" spans="1:6" ht="14.25" customHeight="1">
      <x:c r="A45" s="15" t="s">
        <x:v>42</x:v>
      </x:c>
      <x:c r="B45" s="3">
        <x:v>4000</x:v>
      </x:c>
      <x:c r="C45" s="3">
        <x:f t="shared" si="18"/>
        <x:v>800</x:v>
      </x:c>
      <x:c r="D45" s="5">
        <x:v>10</x:v>
      </x:c>
      <x:c r="E45" s="3">
        <x:f t="shared" si="19"/>
        <x:v>40000</x:v>
      </x:c>
      <x:c r="F45" s="16">
        <x:f t="shared" si="20"/>
        <x:v>8000</x:v>
      </x:c>
    </x:row>
    <x:row r="46" spans="1:6" ht="14.25" customHeight="1">
      <x:c r="A46" s="28"/>
      <x:c r="B46" s="23"/>
      <x:c r="C46" s="18"/>
      <x:c r="D46" s="19"/>
      <x:c r="E46" s="18"/>
      <x:c r="F46" s="20"/>
    </x:row>
    <x:row r="47" spans="1:6" ht="14.25" customHeight="1">
      <x:c r="A47" s="29" t="s">
        <x:v>56</x:v>
      </x:c>
      <x:c r="B47" s="4"/>
      <x:c r="C47" s="25"/>
      <x:c r="D47" s="26"/>
      <x:c r="E47" s="25"/>
      <x:c r="F47" s="27"/>
    </x:row>
    <x:row r="48" spans="1:6" ht="14.25" customHeight="1">
      <x:c r="A48" s="15" t="s">
        <x:v>48</x:v>
      </x:c>
      <x:c r="B48" s="3">
        <x:v>3000</x:v>
      </x:c>
      <x:c r="C48" s="3">
        <x:f t="shared" ref="C48:C49" si="21">B48*$B$2</x:f>
        <x:v>600</x:v>
      </x:c>
      <x:c r="D48" s="5"/>
      <x:c r="E48" s="3">
        <x:f t="shared" ref="E48:E49" si="22">B48*D48</x:f>
        <x:v>0</x:v>
      </x:c>
      <x:c r="F48" s="16">
        <x:f t="shared" ref="F48:F49" si="23">D48*C48</x:f>
        <x:v>0</x:v>
      </x:c>
    </x:row>
    <x:row r="49" spans="1:6" ht="14.25" customHeight="1">
      <x:c r="A49" s="15" t="s">
        <x:v>42</x:v>
      </x:c>
      <x:c r="B49" s="3">
        <x:v>5000</x:v>
      </x:c>
      <x:c r="C49" s="3">
        <x:f t="shared" si="21"/>
        <x:v>1000</x:v>
      </x:c>
      <x:c r="D49" s="5">
        <x:v>10</x:v>
      </x:c>
      <x:c r="E49" s="3">
        <x:f t="shared" si="22"/>
        <x:v>50000</x:v>
      </x:c>
      <x:c r="F49" s="16">
        <x:f t="shared" si="23"/>
        <x:v>10000</x:v>
      </x:c>
    </x:row>
    <x:row r="50" spans="1:6" ht="14.25" customHeight="1">
      <x:c r="A50" s="28"/>
      <x:c r="B50" s="23"/>
      <x:c r="C50" s="18"/>
      <x:c r="D50" s="19"/>
      <x:c r="E50" s="18"/>
      <x:c r="F50" s="20"/>
    </x:row>
    <x:row r="51" spans="1:6" ht="14.25" customHeight="1">
      <x:c r="A51" s="30" t="s">
        <x:v>74</x:v>
      </x:c>
      <x:c r="B51" s="4"/>
      <x:c r="C51" s="31"/>
      <x:c r="D51" s="26"/>
      <x:c r="E51" s="25"/>
      <x:c r="F51" s="27"/>
    </x:row>
    <x:row r="52" spans="1:6" ht="14.25" customHeight="1">
      <x:c r="A52" s="15" t="s">
        <x:v>17</x:v>
      </x:c>
      <x:c r="B52" s="32">
        <x:v>23000</x:v>
      </x:c>
      <x:c r="C52" s="32">
        <x:f t="shared" ref="C52:C53" si="24">B52*$B$2</x:f>
        <x:v>4600</x:v>
      </x:c>
      <x:c r="D52" s="5"/>
      <x:c r="E52" s="3">
        <x:f t="shared" ref="E52:E53" si="25">B52*D52</x:f>
        <x:v>0</x:v>
      </x:c>
      <x:c r="F52" s="16">
        <x:f t="shared" ref="F52:F53" si="26">D52*C52</x:f>
        <x:v>0</x:v>
      </x:c>
    </x:row>
    <x:row r="53" spans="1:6" ht="14.25" customHeight="1">
      <x:c r="A53" s="15" t="s">
        <x:v>17</x:v>
      </x:c>
      <x:c r="B53" s="32">
        <x:v>33000</x:v>
      </x:c>
      <x:c r="C53" s="32">
        <x:f t="shared" si="24"/>
        <x:v>6600</x:v>
      </x:c>
      <x:c r="D53" s="5"/>
      <x:c r="E53" s="3">
        <x:f t="shared" si="25"/>
        <x:v>0</x:v>
      </x:c>
      <x:c r="F53" s="16">
        <x:f t="shared" si="26"/>
        <x:v>0</x:v>
      </x:c>
    </x:row>
    <x:row r="54" spans="1:6" ht="14.25" customHeight="1">
      <x:c r="A54" s="28"/>
      <x:c r="B54" s="33"/>
      <x:c r="C54" s="34"/>
      <x:c r="D54" s="19"/>
      <x:c r="E54" s="18"/>
      <x:c r="F54" s="20"/>
    </x:row>
    <x:row r="55" spans="1:6" ht="14.25" customHeight="1">
      <x:c r="A55" s="24" t="s">
        <x:v>128</x:v>
      </x:c>
      <x:c r="B55" s="35">
        <x:v>7000</x:v>
      </x:c>
      <x:c r="C55" s="31">
        <x:f t="shared" ref="C55:C56" si="27">B55*$B$2</x:f>
        <x:v>1400</x:v>
      </x:c>
      <x:c r="D55" s="26">
        <x:v>30</x:v>
      </x:c>
      <x:c r="E55" s="25">
        <x:f t="shared" ref="E55:E59" si="28">B55*D55</x:f>
        <x:v>210000</x:v>
      </x:c>
      <x:c r="F55" s="27">
        <x:f t="shared" ref="F55:F59" si="29">D55*C55</x:f>
        <x:v>42000</x:v>
      </x:c>
    </x:row>
    <x:row r="56" spans="1:6" ht="14.25" customHeight="1">
      <x:c r="A56" s="15" t="s">
        <x:v>106</x:v>
      </x:c>
      <x:c r="B56" s="36">
        <x:v>13000</x:v>
      </x:c>
      <x:c r="C56" s="32">
        <x:f t="shared" si="27"/>
        <x:v>2600</x:v>
      </x:c>
      <x:c r="D56" s="5">
        <x:v>10</x:v>
      </x:c>
      <x:c r="E56" s="3">
        <x:f t="shared" si="28"/>
        <x:v>130000</x:v>
      </x:c>
      <x:c r="F56" s="16">
        <x:f t="shared" si="29"/>
        <x:v>26000</x:v>
      </x:c>
    </x:row>
    <x:row r="57" spans="1:6" ht="14.25" customHeight="1">
      <x:c r="A57" s="15"/>
      <x:c r="B57" s="37"/>
      <x:c r="C57" s="32"/>
      <x:c r="D57" s="5"/>
      <x:c r="E57" s="3">
        <x:f t="shared" si="28"/>
        <x:v>0</x:v>
      </x:c>
      <x:c r="F57" s="16">
        <x:f t="shared" si="29"/>
        <x:v>0</x:v>
      </x:c>
    </x:row>
    <x:row r="58" spans="1:6" ht="14.25" customHeight="1">
      <x:c r="A58" s="15" t="s">
        <x:v>113</x:v>
      </x:c>
      <x:c r="B58" s="36">
        <x:v>20000</x:v>
      </x:c>
      <x:c r="C58" s="32">
        <x:f t="shared" ref="C58:C59" si="30">B58*$B$2</x:f>
        <x:v>4000</x:v>
      </x:c>
      <x:c r="D58" s="5">
        <x:v>20</x:v>
      </x:c>
      <x:c r="E58" s="3">
        <x:f t="shared" si="28"/>
        <x:v>400000</x:v>
      </x:c>
      <x:c r="F58" s="16">
        <x:f t="shared" si="29"/>
        <x:v>80000</x:v>
      </x:c>
    </x:row>
    <x:row r="59" spans="1:6" ht="14.25" customHeight="1">
      <x:c r="A59" s="15" t="s">
        <x:v>108</x:v>
      </x:c>
      <x:c r="B59" s="36">
        <x:v>25000</x:v>
      </x:c>
      <x:c r="C59" s="32">
        <x:f t="shared" si="30"/>
        <x:v>5000</x:v>
      </x:c>
      <x:c r="D59" s="5">
        <x:v>20</x:v>
      </x:c>
      <x:c r="E59" s="3">
        <x:f t="shared" si="28"/>
        <x:v>500000</x:v>
      </x:c>
      <x:c r="F59" s="16">
        <x:f t="shared" si="29"/>
        <x:v>100000</x:v>
      </x:c>
    </x:row>
    <x:row r="60" spans="1:6" ht="14.25" customHeight="1">
      <x:c r="A60" s="15"/>
      <x:c r="B60" s="37"/>
      <x:c r="C60" s="37"/>
      <x:c r="D60" s="5"/>
      <x:c r="E60" s="2"/>
      <x:c r="F60" s="14"/>
    </x:row>
    <x:row r="61" spans="1:6" ht="14.25" customHeight="1">
      <x:c r="A61" s="15" t="s">
        <x:v>107</x:v>
      </x:c>
      <x:c r="B61" s="37"/>
      <x:c r="C61" s="37"/>
      <x:c r="D61" s="5"/>
      <x:c r="E61" s="2"/>
      <x:c r="F61" s="14"/>
    </x:row>
    <x:row r="62" spans="1:6" ht="14.25" customHeight="1">
      <x:c r="A62" s="15" t="s">
        <x:v>53</x:v>
      </x:c>
      <x:c r="B62" s="37"/>
      <x:c r="C62" s="37">
        <x:v>100</x:v>
      </x:c>
      <x:c r="D62" s="5">
        <x:v>200</x:v>
      </x:c>
      <x:c r="E62" s="2"/>
      <x:c r="F62" s="38">
        <x:f t="shared" ref="F62:F67" si="31">C62*D62</x:f>
        <x:v>20000</x:v>
      </x:c>
    </x:row>
    <x:row r="63" spans="1:6" ht="14.25" customHeight="1">
      <x:c r="A63" s="15" t="s">
        <x:v>44</x:v>
      </x:c>
      <x:c r="B63" s="37"/>
      <x:c r="C63" s="37"/>
      <x:c r="D63" s="5"/>
      <x:c r="E63" s="2"/>
      <x:c r="F63" s="38">
        <x:f t="shared" si="31"/>
        <x:v>0</x:v>
      </x:c>
    </x:row>
    <x:row r="64" spans="1:6" ht="14.25" customHeight="1">
      <x:c r="A64" s="15" t="s">
        <x:v>28</x:v>
      </x:c>
      <x:c r="B64" s="37"/>
      <x:c r="C64" s="37">
        <x:v>100</x:v>
      </x:c>
      <x:c r="D64" s="5">
        <x:v>100</x:v>
      </x:c>
      <x:c r="E64" s="2"/>
      <x:c r="F64" s="38">
        <x:f t="shared" si="31"/>
        <x:v>10000</x:v>
      </x:c>
    </x:row>
    <x:row r="65" spans="1:6" ht="14.25" customHeight="1">
      <x:c r="A65" s="15" t="s">
        <x:v>103</x:v>
      </x:c>
      <x:c r="B65" s="37"/>
      <x:c r="C65" s="37"/>
      <x:c r="D65" s="5"/>
      <x:c r="E65" s="2"/>
      <x:c r="F65" s="38">
        <x:f t="shared" si="31"/>
        <x:v>0</x:v>
      </x:c>
    </x:row>
    <x:row r="66" spans="1:6" ht="14.25" customHeight="1">
      <x:c r="A66" s="15" t="s">
        <x:v>119</x:v>
      </x:c>
      <x:c r="B66" s="37"/>
      <x:c r="C66" s="37"/>
      <x:c r="D66" s="5">
        <x:v>50</x:v>
      </x:c>
      <x:c r="E66" s="2"/>
      <x:c r="F66" s="38">
        <x:f t="shared" si="31"/>
        <x:v>0</x:v>
      </x:c>
    </x:row>
    <x:row r="67" spans="1:6" ht="14.25" customHeight="1">
      <x:c r="A67" s="15" t="s">
        <x:v>112</x:v>
      </x:c>
      <x:c r="B67" s="37"/>
      <x:c r="C67" s="37"/>
      <x:c r="D67" s="5"/>
      <x:c r="E67" s="2"/>
      <x:c r="F67" s="38">
        <x:f t="shared" si="31"/>
        <x:v>0</x:v>
      </x:c>
    </x:row>
    <x:row r="68" spans="1:6" ht="14.25" customHeight="1">
      <x:c r="A68" s="15" t="s">
        <x:v>27</x:v>
      </x:c>
      <x:c r="B68" s="37"/>
      <x:c r="C68" s="37"/>
      <x:c r="D68" s="5"/>
      <x:c r="E68" s="2"/>
      <x:c r="F68" s="14"/>
    </x:row>
    <x:row r="69" spans="1:6" ht="14.25" customHeight="1">
      <x:c r="A69" s="17" t="s">
        <x:v>25</x:v>
      </x:c>
      <x:c r="B69" s="33"/>
      <x:c r="C69" s="33"/>
      <x:c r="D69" s="19"/>
      <x:c r="E69" s="23"/>
      <x:c r="F69" s="39"/>
    </x:row>
    <x:row r="70" spans="1:6" ht="14.25" customHeight="1">
      <x:c r="A70" s="22"/>
      <x:c r="B70" s="37"/>
      <x:c r="C70" s="37"/>
      <x:c r="D70" s="5"/>
      <x:c r="E70" s="2"/>
      <x:c r="F70" s="14"/>
    </x:row>
    <x:row r="71" spans="1:6" ht="14.25" customHeight="1">
      <x:c r="A71" s="22"/>
      <x:c r="B71" s="37"/>
      <x:c r="C71" s="37"/>
      <x:c r="D71" s="5"/>
      <x:c r="E71" s="40">
        <x:f>SUM(E6:E60)</x:f>
        <x:v>5009500</x:v>
      </x:c>
      <x:c r="F71" s="41">
        <x:f>SUM(F6:F69)</x:f>
        <x:v>1031900</x:v>
      </x:c>
    </x:row>
    <x:row r="72" spans="1:6" ht="14.25" customHeight="1">
      <x:c r="A72" s="42"/>
      <x:c r="B72" s="43"/>
      <x:c r="C72" s="43"/>
      <x:c r="D72" s="44"/>
      <x:c r="E72" s="45"/>
      <x:c r="F72" s="46"/>
    </x:row>
    <x:row r="73" spans="4:4" ht="14.25" customHeight="1">
      <x:c r="D73" s="5"/>
    </x:row>
    <x:row r="74" spans="4:4" ht="14.25" customHeight="1">
      <x:c r="D74" s="5"/>
    </x:row>
    <x:row r="75" spans="4:4" ht="14.25" customHeight="1">
      <x:c r="D75" s="5"/>
    </x:row>
    <x:row r="76" spans="4:4" ht="14.25" customHeight="1">
      <x:c r="D76" s="5"/>
    </x:row>
    <x:row r="77" spans="4:4" ht="14.25" customHeight="1">
      <x:c r="D77" s="5"/>
    </x:row>
    <x:row r="78" spans="4:4" ht="14.25" customHeight="1">
      <x:c r="D78" s="5"/>
    </x:row>
    <x:row r="79" spans="4:4" ht="14.25" customHeight="1">
      <x:c r="D79" s="5"/>
    </x:row>
    <x:row r="80" spans="4:4" ht="14.25" customHeight="1">
      <x:c r="D80" s="5"/>
    </x:row>
    <x:row r="81" spans="4:4" ht="14.25" customHeight="1">
      <x:c r="D81" s="5"/>
    </x:row>
    <x:row r="82" spans="4:4" ht="14.25" customHeight="1">
      <x:c r="D82" s="5"/>
    </x:row>
    <x:row r="83" spans="4:4" ht="14.25" customHeight="1">
      <x:c r="D83" s="5"/>
    </x:row>
    <x:row r="84" spans="4:4" ht="14.25" customHeight="1">
      <x:c r="D84" s="5"/>
    </x:row>
    <x:row r="85" spans="4:4" ht="14.25" customHeight="1">
      <x:c r="D85" s="5"/>
    </x:row>
    <x:row r="86" spans="4:4" ht="14.25" customHeight="1">
      <x:c r="D86" s="5"/>
    </x:row>
    <x:row r="87" spans="4:4" ht="14.25" customHeight="1">
      <x:c r="D87" s="5"/>
    </x:row>
    <x:row r="88" spans="4:4" ht="14.25" customHeight="1">
      <x:c r="D88" s="5"/>
    </x:row>
    <x:row r="89" spans="4:4" ht="14.25" customHeight="1">
      <x:c r="D89" s="5"/>
    </x:row>
    <x:row r="90" spans="4:4" ht="14.25" customHeight="1">
      <x:c r="D90" s="5"/>
    </x:row>
    <x:row r="91" spans="4:4" ht="14.25" customHeight="1">
      <x:c r="D91" s="5"/>
    </x:row>
    <x:row r="92" spans="4:4" ht="14.25" customHeight="1">
      <x:c r="D92" s="5"/>
    </x:row>
    <x:row r="93" spans="4:4" ht="14.25" customHeight="1">
      <x:c r="D93" s="5"/>
    </x:row>
    <x:row r="94" spans="4:4" ht="14.25" customHeight="1">
      <x:c r="D94" s="5"/>
    </x:row>
    <x:row r="95" spans="4:4" ht="14.25" customHeight="1">
      <x:c r="D95" s="5"/>
    </x:row>
    <x:row r="96" spans="4:4" ht="14.25" customHeight="1">
      <x:c r="D96" s="5"/>
    </x:row>
    <x:row r="97" spans="4:4" ht="14.25" customHeight="1">
      <x:c r="D97" s="5"/>
    </x:row>
    <x:row r="98" spans="4:4" ht="14.25" customHeight="1">
      <x:c r="D98" s="5"/>
    </x:row>
    <x:row r="99" spans="4:4" ht="14.25" customHeight="1">
      <x:c r="D99" s="5"/>
    </x:row>
    <x:row r="100" spans="4:4" ht="14.25" customHeight="1">
      <x:c r="D100" s="5"/>
    </x:row>
    <x:row r="101" spans="4:4" ht="14.25" customHeight="1">
      <x:c r="D101" s="5"/>
    </x:row>
    <x:row r="102" spans="4:4" ht="14.25" customHeight="1">
      <x:c r="D102" s="5"/>
    </x:row>
    <x:row r="103" spans="4:4" ht="14.25" customHeight="1">
      <x:c r="D103" s="5"/>
    </x:row>
    <x:row r="104" spans="4:4" ht="14.25" customHeight="1">
      <x:c r="D104" s="5"/>
    </x:row>
    <x:row r="105" spans="4:4" ht="14.25" customHeight="1">
      <x:c r="D105" s="5"/>
    </x:row>
    <x:row r="106" spans="4:4" ht="14.25" customHeight="1">
      <x:c r="D106" s="5"/>
    </x:row>
    <x:row r="107" spans="4:4" ht="14.25" customHeight="1">
      <x:c r="D107" s="5"/>
    </x:row>
    <x:row r="108" spans="4:4" ht="14.25" customHeight="1">
      <x:c r="D108" s="5"/>
    </x:row>
    <x:row r="109" spans="4:4" ht="14.25" customHeight="1">
      <x:c r="D109" s="5"/>
    </x:row>
    <x:row r="110" spans="4:4" ht="14.25" customHeight="1">
      <x:c r="D110" s="5"/>
    </x:row>
    <x:row r="111" spans="4:4" ht="14.25" customHeight="1">
      <x:c r="D111" s="5"/>
    </x:row>
    <x:row r="112" spans="4:4" ht="14.25" customHeight="1">
      <x:c r="D112" s="5"/>
    </x:row>
    <x:row r="113" spans="4:4" ht="14.25" customHeight="1">
      <x:c r="D113" s="5"/>
    </x:row>
    <x:row r="114" spans="4:4" ht="14.25" customHeight="1">
      <x:c r="D114" s="5"/>
    </x:row>
    <x:row r="115" spans="4:4" ht="14.25" customHeight="1">
      <x:c r="D115" s="5"/>
    </x:row>
    <x:row r="116" spans="4:4" ht="14.25" customHeight="1">
      <x:c r="D116" s="5"/>
    </x:row>
    <x:row r="117" spans="4:4" ht="14.25" customHeight="1">
      <x:c r="D117" s="5"/>
    </x:row>
    <x:row r="118" spans="4:4" ht="14.25" customHeight="1">
      <x:c r="D118" s="5"/>
    </x:row>
    <x:row r="119" spans="4:4" ht="14.25" customHeight="1">
      <x:c r="D119" s="5"/>
    </x:row>
    <x:row r="120" spans="4:4" ht="14.25" customHeight="1">
      <x:c r="D120" s="5"/>
    </x:row>
    <x:row r="121" spans="4:4" ht="14.25" customHeight="1">
      <x:c r="D121" s="5"/>
    </x:row>
    <x:row r="122" spans="4:4" ht="14.25" customHeight="1">
      <x:c r="D122" s="5"/>
    </x:row>
    <x:row r="123" spans="4:4" ht="14.25" customHeight="1">
      <x:c r="D123" s="5"/>
    </x:row>
    <x:row r="124" spans="4:4" ht="14.25" customHeight="1">
      <x:c r="D124" s="5"/>
    </x:row>
    <x:row r="125" spans="4:4" ht="14.25" customHeight="1">
      <x:c r="D125" s="5"/>
    </x:row>
    <x:row r="126" spans="4:4" ht="14.25" customHeight="1">
      <x:c r="D126" s="5"/>
    </x:row>
    <x:row r="127" spans="4:4" ht="14.25" customHeight="1">
      <x:c r="D127" s="5"/>
    </x:row>
    <x:row r="128" spans="4:4" ht="14.25" customHeight="1">
      <x:c r="D128" s="5"/>
    </x:row>
    <x:row r="129" spans="4:4" ht="14.25" customHeight="1">
      <x:c r="D129" s="5"/>
    </x:row>
    <x:row r="130" spans="4:4" ht="14.25" customHeight="1">
      <x:c r="D130" s="5"/>
    </x:row>
    <x:row r="131" spans="4:4" ht="14.25" customHeight="1">
      <x:c r="D131" s="5"/>
    </x:row>
    <x:row r="132" spans="4:4" ht="14.25" customHeight="1">
      <x:c r="D132" s="5"/>
    </x:row>
    <x:row r="133" spans="4:4" ht="14.25" customHeight="1">
      <x:c r="D133" s="5"/>
    </x:row>
    <x:row r="134" spans="4:4" ht="14.25" customHeight="1">
      <x:c r="D134" s="5"/>
    </x:row>
    <x:row r="135" spans="4:4" ht="14.25" customHeight="1">
      <x:c r="D135" s="5"/>
    </x:row>
    <x:row r="136" spans="4:4" ht="14.25" customHeight="1">
      <x:c r="D136" s="5"/>
    </x:row>
    <x:row r="137" spans="4:4" ht="14.25" customHeight="1">
      <x:c r="D137" s="5"/>
    </x:row>
    <x:row r="138" spans="4:4" ht="14.25" customHeight="1">
      <x:c r="D138" s="5"/>
    </x:row>
    <x:row r="139" spans="4:4" ht="14.25" customHeight="1">
      <x:c r="D139" s="5"/>
    </x:row>
    <x:row r="140" spans="4:4" ht="14.25" customHeight="1">
      <x:c r="D140" s="5"/>
    </x:row>
    <x:row r="141" spans="4:4" ht="14.25" customHeight="1">
      <x:c r="D141" s="5"/>
    </x:row>
    <x:row r="142" spans="4:4" ht="14.25" customHeight="1">
      <x:c r="D142" s="5"/>
    </x:row>
    <x:row r="143" spans="4:4" ht="14.25" customHeight="1">
      <x:c r="D143" s="5"/>
    </x:row>
    <x:row r="144" spans="4:4" ht="14.25" customHeight="1">
      <x:c r="D144" s="5"/>
    </x:row>
    <x:row r="145" spans="4:4" ht="14.25" customHeight="1">
      <x:c r="D145" s="5"/>
    </x:row>
    <x:row r="146" spans="4:4" ht="14.25" customHeight="1">
      <x:c r="D146" s="5"/>
    </x:row>
    <x:row r="147" spans="4:4" ht="14.25" customHeight="1">
      <x:c r="D147" s="5"/>
    </x:row>
    <x:row r="148" spans="4:4" ht="14.25" customHeight="1">
      <x:c r="D148" s="5"/>
    </x:row>
    <x:row r="149" spans="4:4" ht="14.25" customHeight="1">
      <x:c r="D149" s="5"/>
    </x:row>
    <x:row r="150" spans="4:4" ht="14.25" customHeight="1">
      <x:c r="D150" s="5"/>
    </x:row>
    <x:row r="151" spans="4:4" ht="14.25" customHeight="1">
      <x:c r="D151" s="5"/>
    </x:row>
    <x:row r="152" spans="4:4" ht="14.25" customHeight="1">
      <x:c r="D152" s="5"/>
    </x:row>
    <x:row r="153" spans="4:4" ht="14.25" customHeight="1">
      <x:c r="D153" s="5"/>
    </x:row>
    <x:row r="154" spans="4:4" ht="14.25" customHeight="1">
      <x:c r="D154" s="5"/>
    </x:row>
    <x:row r="155" spans="4:4" ht="14.25" customHeight="1">
      <x:c r="D155" s="5"/>
    </x:row>
    <x:row r="156" spans="4:4" ht="14.25" customHeight="1">
      <x:c r="D156" s="5"/>
    </x:row>
    <x:row r="157" spans="4:4" ht="14.25" customHeight="1">
      <x:c r="D157" s="5"/>
    </x:row>
    <x:row r="158" spans="4:4" ht="14.25" customHeight="1">
      <x:c r="D158" s="5"/>
    </x:row>
    <x:row r="159" spans="4:4" ht="14.25" customHeight="1">
      <x:c r="D159" s="5"/>
    </x:row>
    <x:row r="160" spans="4:4" ht="14.25" customHeight="1">
      <x:c r="D160" s="5"/>
    </x:row>
    <x:row r="161" spans="4:4" ht="14.25" customHeight="1">
      <x:c r="D161" s="5"/>
    </x:row>
    <x:row r="162" spans="4:4" ht="14.25" customHeight="1">
      <x:c r="D162" s="5"/>
    </x:row>
    <x:row r="163" spans="4:4" ht="14.25" customHeight="1">
      <x:c r="D163" s="5"/>
    </x:row>
    <x:row r="164" spans="4:4" ht="14.25" customHeight="1">
      <x:c r="D164" s="5"/>
    </x:row>
    <x:row r="165" spans="4:4" ht="14.25" customHeight="1">
      <x:c r="D165" s="5"/>
    </x:row>
    <x:row r="166" spans="4:4" ht="14.25" customHeight="1">
      <x:c r="D166" s="5"/>
    </x:row>
    <x:row r="167" spans="4:4" ht="14.25" customHeight="1">
      <x:c r="D167" s="5"/>
    </x:row>
    <x:row r="168" spans="4:4" ht="14.25" customHeight="1">
      <x:c r="D168" s="5"/>
    </x:row>
    <x:row r="169" spans="4:4" ht="14.25" customHeight="1">
      <x:c r="D169" s="5"/>
    </x:row>
    <x:row r="170" spans="4:4" ht="14.25" customHeight="1">
      <x:c r="D170" s="5"/>
    </x:row>
    <x:row r="171" spans="4:4" ht="14.25" customHeight="1">
      <x:c r="D171" s="5"/>
    </x:row>
    <x:row r="172" spans="4:4" ht="14.25" customHeight="1">
      <x:c r="D172" s="5"/>
    </x:row>
    <x:row r="173" spans="4:4" ht="14.25" customHeight="1">
      <x:c r="D173" s="5"/>
    </x:row>
    <x:row r="174" spans="4:4" ht="14.25" customHeight="1">
      <x:c r="D174" s="5"/>
    </x:row>
    <x:row r="175" spans="4:4" ht="14.25" customHeight="1">
      <x:c r="D175" s="5"/>
    </x:row>
    <x:row r="176" spans="4:4" ht="14.25" customHeight="1">
      <x:c r="D176" s="5"/>
    </x:row>
    <x:row r="177" spans="4:4" ht="14.25" customHeight="1">
      <x:c r="D177" s="5"/>
    </x:row>
    <x:row r="178" spans="4:4" ht="14.25" customHeight="1">
      <x:c r="D178" s="5"/>
    </x:row>
    <x:row r="179" spans="4:4" ht="14.25" customHeight="1">
      <x:c r="D179" s="5"/>
    </x:row>
    <x:row r="180" spans="4:4" ht="14.25" customHeight="1">
      <x:c r="D180" s="5"/>
    </x:row>
    <x:row r="181" spans="4:4" ht="14.25" customHeight="1">
      <x:c r="D181" s="5"/>
    </x:row>
    <x:row r="182" spans="4:4" ht="14.25" customHeight="1">
      <x:c r="D182" s="5"/>
    </x:row>
    <x:row r="183" spans="4:4" ht="14.25" customHeight="1">
      <x:c r="D183" s="5"/>
    </x:row>
    <x:row r="184" spans="4:4" ht="14.25" customHeight="1">
      <x:c r="D184" s="5"/>
    </x:row>
    <x:row r="185" spans="4:4" ht="14.25" customHeight="1">
      <x:c r="D185" s="5"/>
    </x:row>
    <x:row r="186" spans="4:4" ht="14.25" customHeight="1">
      <x:c r="D186" s="5"/>
    </x:row>
    <x:row r="187" spans="4:4" ht="14.25" customHeight="1">
      <x:c r="D187" s="5"/>
    </x:row>
    <x:row r="188" spans="4:4" ht="14.25" customHeight="1">
      <x:c r="D188" s="5"/>
    </x:row>
    <x:row r="189" spans="4:4" ht="14.25" customHeight="1">
      <x:c r="D189" s="5"/>
    </x:row>
    <x:row r="190" spans="4:4" ht="14.25" customHeight="1">
      <x:c r="D190" s="5"/>
    </x:row>
    <x:row r="191" spans="4:4" ht="14.25" customHeight="1">
      <x:c r="D191" s="5"/>
    </x:row>
    <x:row r="192" spans="4:4" ht="14.25" customHeight="1">
      <x:c r="D192" s="5"/>
    </x:row>
    <x:row r="193" spans="4:4" ht="14.25" customHeight="1">
      <x:c r="D193" s="5"/>
    </x:row>
    <x:row r="194" spans="4:4" ht="14.25" customHeight="1">
      <x:c r="D194" s="5"/>
    </x:row>
    <x:row r="195" spans="4:4" ht="14.25" customHeight="1">
      <x:c r="D195" s="5"/>
    </x:row>
    <x:row r="196" spans="4:4" ht="14.25" customHeight="1">
      <x:c r="D196" s="5"/>
    </x:row>
    <x:row r="197" spans="4:4" ht="14.25" customHeight="1">
      <x:c r="D197" s="5"/>
    </x:row>
    <x:row r="198" spans="4:4" ht="14.25" customHeight="1">
      <x:c r="D198" s="5"/>
    </x:row>
    <x:row r="199" spans="4:4" ht="14.25" customHeight="1">
      <x:c r="D199" s="5"/>
    </x:row>
    <x:row r="200" spans="4:4" ht="14.25" customHeight="1">
      <x:c r="D200" s="5"/>
    </x:row>
    <x:row r="201" spans="4:4" ht="14.25" customHeight="1">
      <x:c r="D201" s="5"/>
    </x:row>
    <x:row r="202" spans="4:4" ht="14.25" customHeight="1">
      <x:c r="D202" s="5"/>
    </x:row>
    <x:row r="203" spans="4:4" ht="14.25" customHeight="1">
      <x:c r="D203" s="5"/>
    </x:row>
    <x:row r="204" spans="4:4" ht="14.25" customHeight="1">
      <x:c r="D204" s="5"/>
    </x:row>
    <x:row r="205" spans="4:4" ht="14.25" customHeight="1">
      <x:c r="D205" s="5"/>
    </x:row>
    <x:row r="206" spans="4:4" ht="14.25" customHeight="1">
      <x:c r="D206" s="5"/>
    </x:row>
    <x:row r="207" spans="4:4" ht="14.25" customHeight="1">
      <x:c r="D207" s="5"/>
    </x:row>
    <x:row r="208" spans="4:4" ht="14.25" customHeight="1">
      <x:c r="D208" s="5"/>
    </x:row>
    <x:row r="209" spans="4:4" ht="14.25" customHeight="1">
      <x:c r="D209" s="5"/>
    </x:row>
    <x:row r="210" spans="4:4" ht="14.25" customHeight="1">
      <x:c r="D210" s="5"/>
    </x:row>
    <x:row r="211" spans="4:4" ht="14.25" customHeight="1">
      <x:c r="D211" s="5"/>
    </x:row>
    <x:row r="212" spans="4:4" ht="14.25" customHeight="1">
      <x:c r="D212" s="5"/>
    </x:row>
    <x:row r="213" spans="4:4" ht="14.25" customHeight="1">
      <x:c r="D213" s="5"/>
    </x:row>
    <x:row r="214" spans="4:4" ht="14.25" customHeight="1">
      <x:c r="D214" s="5"/>
    </x:row>
    <x:row r="215" spans="4:4" ht="14.25" customHeight="1">
      <x:c r="D215" s="5"/>
    </x:row>
    <x:row r="216" spans="4:4" ht="14.25" customHeight="1">
      <x:c r="D216" s="5"/>
    </x:row>
    <x:row r="217" spans="4:4" ht="14.25" customHeight="1">
      <x:c r="D217" s="5"/>
    </x:row>
    <x:row r="218" spans="4:4" ht="14.25" customHeight="1">
      <x:c r="D218" s="5"/>
    </x:row>
    <x:row r="219" spans="4:4" ht="14.25" customHeight="1">
      <x:c r="D219" s="5"/>
    </x:row>
    <x:row r="220" spans="4:4" ht="14.25" customHeight="1">
      <x:c r="D220" s="5"/>
    </x:row>
    <x:row r="221" spans="4:4" ht="14.25" customHeight="1">
      <x:c r="D221" s="5"/>
    </x:row>
    <x:row r="222" spans="4:4" ht="14.25" customHeight="1">
      <x:c r="D222" s="5"/>
    </x:row>
    <x:row r="223" spans="4:4" ht="14.25" customHeight="1">
      <x:c r="D223" s="5"/>
    </x:row>
    <x:row r="224" spans="4:4" ht="14.25" customHeight="1">
      <x:c r="D224" s="5"/>
    </x:row>
    <x:row r="225" spans="4:4" ht="14.25" customHeight="1">
      <x:c r="D225" s="5"/>
    </x:row>
    <x:row r="226" spans="4:4" ht="14.25" customHeight="1">
      <x:c r="D226" s="5"/>
    </x:row>
    <x:row r="227" spans="4:4" ht="14.25" customHeight="1">
      <x:c r="D227" s="5"/>
    </x:row>
    <x:row r="228" spans="4:4" ht="14.25" customHeight="1">
      <x:c r="D228" s="5"/>
    </x:row>
    <x:row r="229" spans="4:4" ht="14.25" customHeight="1">
      <x:c r="D229" s="5"/>
    </x:row>
    <x:row r="230" spans="4:4" ht="14.25" customHeight="1">
      <x:c r="D230" s="5"/>
    </x:row>
    <x:row r="231" spans="4:4" ht="14.25" customHeight="1">
      <x:c r="D231" s="5"/>
    </x:row>
    <x:row r="232" spans="4:4" ht="14.25" customHeight="1">
      <x:c r="D232" s="5"/>
    </x:row>
    <x:row r="233" spans="4:4" ht="14.25" customHeight="1">
      <x:c r="D233" s="5"/>
    </x:row>
    <x:row r="234" spans="4:4" ht="14.25" customHeight="1">
      <x:c r="D234" s="5"/>
    </x:row>
    <x:row r="235" spans="4:4" ht="14.25" customHeight="1">
      <x:c r="D235" s="5"/>
    </x:row>
    <x:row r="236" spans="4:4" ht="14.25" customHeight="1">
      <x:c r="D236" s="5"/>
    </x:row>
    <x:row r="237" spans="4:4" ht="14.25" customHeight="1">
      <x:c r="D237" s="5"/>
    </x:row>
    <x:row r="238" spans="4:4" ht="14.25" customHeight="1">
      <x:c r="D238" s="5"/>
    </x:row>
    <x:row r="239" spans="4:4" ht="14.25" customHeight="1">
      <x:c r="D239" s="5"/>
    </x:row>
    <x:row r="240" spans="4:4" ht="14.25" customHeight="1">
      <x:c r="D240" s="5"/>
    </x:row>
    <x:row r="241" spans="4:4" ht="14.25" customHeight="1">
      <x:c r="D241" s="5"/>
    </x:row>
    <x:row r="242" spans="4:4" ht="14.25" customHeight="1">
      <x:c r="D242" s="5"/>
    </x:row>
    <x:row r="243" spans="4:4" ht="14.25" customHeight="1">
      <x:c r="D243" s="5"/>
    </x:row>
    <x:row r="244" spans="4:4" ht="14.25" customHeight="1">
      <x:c r="D244" s="5"/>
    </x:row>
    <x:row r="245" spans="4:4" ht="14.25" customHeight="1">
      <x:c r="D245" s="5"/>
    </x:row>
    <x:row r="246" spans="4:4" ht="14.25" customHeight="1">
      <x:c r="D246" s="5"/>
    </x:row>
    <x:row r="247" spans="4:4" ht="14.25" customHeight="1">
      <x:c r="D247" s="5"/>
    </x:row>
    <x:row r="248" spans="4:4" ht="14.25" customHeight="1">
      <x:c r="D248" s="5"/>
    </x:row>
    <x:row r="249" spans="4:4" ht="14.25" customHeight="1">
      <x:c r="D249" s="5"/>
    </x:row>
    <x:row r="250" spans="4:4" ht="14.25" customHeight="1">
      <x:c r="D250" s="5"/>
    </x:row>
    <x:row r="251" spans="4:4" ht="14.25" customHeight="1">
      <x:c r="D251" s="5"/>
    </x:row>
    <x:row r="252" spans="4:4" ht="14.25" customHeight="1">
      <x:c r="D252" s="5"/>
    </x:row>
    <x:row r="253" spans="4:4" ht="14.25" customHeight="1">
      <x:c r="D253" s="5"/>
    </x:row>
    <x:row r="254" spans="4:4" ht="14.25" customHeight="1">
      <x:c r="D254" s="5"/>
    </x:row>
    <x:row r="255" spans="4:4" ht="14.25" customHeight="1">
      <x:c r="D255" s="5"/>
    </x:row>
    <x:row r="256" spans="4:4" ht="14.25" customHeight="1">
      <x:c r="D256" s="5"/>
    </x:row>
    <x:row r="257" spans="4:4" ht="14.25" customHeight="1">
      <x:c r="D257" s="5"/>
    </x:row>
    <x:row r="258" spans="4:4" ht="14.25" customHeight="1">
      <x:c r="D258" s="5"/>
    </x:row>
    <x:row r="259" spans="4:4" ht="14.25" customHeight="1">
      <x:c r="D259" s="5"/>
    </x:row>
    <x:row r="260" spans="4:4" ht="14.25" customHeight="1">
      <x:c r="D260" s="5"/>
    </x:row>
    <x:row r="261" spans="4:4" ht="14.25" customHeight="1">
      <x:c r="D261" s="5"/>
    </x:row>
    <x:row r="262" spans="4:4" ht="14.25" customHeight="1">
      <x:c r="D262" s="5"/>
    </x:row>
    <x:row r="263" spans="4:4" ht="14.25" customHeight="1">
      <x:c r="D263" s="5"/>
    </x:row>
    <x:row r="264" spans="4:4" ht="14.25" customHeight="1">
      <x:c r="D264" s="5"/>
    </x:row>
    <x:row r="265" spans="4:4" ht="14.25" customHeight="1">
      <x:c r="D265" s="5"/>
    </x:row>
    <x:row r="266" spans="4:4" ht="14.25" customHeight="1">
      <x:c r="D266" s="5"/>
    </x:row>
    <x:row r="267" spans="4:4" ht="14.25" customHeight="1">
      <x:c r="D267" s="5"/>
    </x:row>
    <x:row r="268" spans="4:4" ht="14.25" customHeight="1">
      <x:c r="D268" s="5"/>
    </x:row>
    <x:row r="269" spans="4:4" ht="14.25" customHeight="1">
      <x:c r="D269" s="5"/>
    </x:row>
    <x:row r="270" spans="4:4" ht="14.25" customHeight="1">
      <x:c r="D270" s="5"/>
    </x:row>
    <x:row r="271" spans="4:4" ht="14.25" customHeight="1">
      <x:c r="D271" s="5"/>
    </x:row>
    <x:row r="272" spans="4:4" ht="14.25" customHeight="1">
      <x:c r="D272" s="5"/>
    </x:row>
    <x:row r="273" spans="4:4" ht="14.25" customHeight="1">
      <x:c r="D273" s="5"/>
    </x:row>
    <x:row r="274" spans="4:4" ht="14.25" customHeight="1">
      <x:c r="D274" s="5"/>
    </x:row>
    <x:row r="275" spans="4:4" ht="14.25" customHeight="1">
      <x:c r="D275" s="5"/>
    </x:row>
    <x:row r="276" spans="4:4" ht="14.25" customHeight="1">
      <x:c r="D276" s="5"/>
    </x:row>
    <x:row r="277" spans="4:4" ht="14.25" customHeight="1">
      <x:c r="D277" s="5"/>
    </x:row>
    <x:row r="278" spans="4:4" ht="14.25" customHeight="1">
      <x:c r="D278" s="5"/>
    </x:row>
    <x:row r="279" spans="4:4" ht="14.25" customHeight="1">
      <x:c r="D279" s="5"/>
    </x:row>
    <x:row r="280" spans="4:4" ht="14.25" customHeight="1">
      <x:c r="D280" s="5"/>
    </x:row>
    <x:row r="281" spans="4:4" ht="14.25" customHeight="1">
      <x:c r="D281" s="5"/>
    </x:row>
    <x:row r="282" spans="4:4" ht="14.25" customHeight="1">
      <x:c r="D282" s="5"/>
    </x:row>
    <x:row r="283" spans="4:4" ht="14.25" customHeight="1">
      <x:c r="D283" s="5"/>
    </x:row>
    <x:row r="284" spans="4:4" ht="14.25" customHeight="1">
      <x:c r="D284" s="5"/>
    </x:row>
    <x:row r="285" spans="4:4" ht="14.25" customHeight="1">
      <x:c r="D285" s="5"/>
    </x:row>
    <x:row r="286" spans="4:4" ht="14.25" customHeight="1">
      <x:c r="D286" s="5"/>
    </x:row>
    <x:row r="287" spans="4:4" ht="14.25" customHeight="1">
      <x:c r="D287" s="5"/>
    </x:row>
    <x:row r="288" spans="4:4" ht="14.25" customHeight="1">
      <x:c r="D288" s="5"/>
    </x:row>
    <x:row r="289" spans="4:4" ht="14.25" customHeight="1">
      <x:c r="D289" s="5"/>
    </x:row>
    <x:row r="290" spans="4:4" ht="14.25" customHeight="1">
      <x:c r="D290" s="5"/>
    </x:row>
    <x:row r="291" spans="4:4" ht="14.25" customHeight="1">
      <x:c r="D291" s="5"/>
    </x:row>
    <x:row r="292" spans="4:4" ht="14.25" customHeight="1">
      <x:c r="D292" s="5"/>
    </x:row>
    <x:row r="293" spans="4:4" ht="14.25" customHeight="1">
      <x:c r="D293" s="5"/>
    </x:row>
    <x:row r="294" spans="4:4" ht="14.25" customHeight="1">
      <x:c r="D294" s="5"/>
    </x:row>
    <x:row r="295" spans="4:4" ht="14.25" customHeight="1">
      <x:c r="D295" s="5"/>
    </x:row>
    <x:row r="296" spans="4:4" ht="14.25" customHeight="1">
      <x:c r="D296" s="5"/>
    </x:row>
    <x:row r="297" spans="4:4" ht="14.25" customHeight="1">
      <x:c r="D297" s="5"/>
    </x:row>
    <x:row r="298" spans="4:4" ht="14.25" customHeight="1">
      <x:c r="D298" s="5"/>
    </x:row>
    <x:row r="299" spans="4:4" ht="14.25" customHeight="1">
      <x:c r="D299" s="5"/>
    </x:row>
    <x:row r="300" spans="4:4" ht="14.25" customHeight="1">
      <x:c r="D300" s="5"/>
    </x:row>
    <x:row r="301" spans="4:4" ht="14.25" customHeight="1">
      <x:c r="D301" s="5"/>
    </x:row>
    <x:row r="302" spans="4:4" ht="14.25" customHeight="1">
      <x:c r="D302" s="5"/>
    </x:row>
    <x:row r="303" spans="4:4" ht="14.25" customHeight="1">
      <x:c r="D303" s="5"/>
    </x:row>
    <x:row r="304" spans="4:4" ht="14.25" customHeight="1">
      <x:c r="D304" s="5"/>
    </x:row>
    <x:row r="305" spans="4:4" ht="14.25" customHeight="1">
      <x:c r="D305" s="5"/>
    </x:row>
    <x:row r="306" spans="4:4" ht="14.25" customHeight="1">
      <x:c r="D306" s="5"/>
    </x:row>
    <x:row r="307" spans="4:4" ht="14.25" customHeight="1">
      <x:c r="D307" s="5"/>
    </x:row>
    <x:row r="308" spans="4:4" ht="14.25" customHeight="1">
      <x:c r="D308" s="5"/>
    </x:row>
    <x:row r="309" spans="4:4" ht="14.25" customHeight="1">
      <x:c r="D309" s="5"/>
    </x:row>
    <x:row r="310" spans="4:4" ht="14.25" customHeight="1">
      <x:c r="D310" s="5"/>
    </x:row>
    <x:row r="311" spans="4:4" ht="14.25" customHeight="1">
      <x:c r="D311" s="5"/>
    </x:row>
    <x:row r="312" spans="4:4" ht="14.25" customHeight="1">
      <x:c r="D312" s="5"/>
    </x:row>
    <x:row r="313" spans="4:4" ht="14.25" customHeight="1">
      <x:c r="D313" s="5"/>
    </x:row>
    <x:row r="314" spans="4:4" ht="14.25" customHeight="1">
      <x:c r="D314" s="5"/>
    </x:row>
    <x:row r="315" spans="4:4" ht="14.25" customHeight="1">
      <x:c r="D315" s="5"/>
    </x:row>
    <x:row r="316" spans="4:4" ht="14.25" customHeight="1">
      <x:c r="D316" s="5"/>
    </x:row>
    <x:row r="317" spans="4:4" ht="14.25" customHeight="1">
      <x:c r="D317" s="5"/>
    </x:row>
    <x:row r="318" spans="4:4" ht="14.25" customHeight="1">
      <x:c r="D318" s="5"/>
    </x:row>
    <x:row r="319" spans="4:4" ht="14.25" customHeight="1">
      <x:c r="D319" s="5"/>
    </x:row>
    <x:row r="320" spans="4:4" ht="14.25" customHeight="1">
      <x:c r="D320" s="5"/>
    </x:row>
    <x:row r="321" spans="4:4" ht="14.25" customHeight="1">
      <x:c r="D321" s="5"/>
    </x:row>
    <x:row r="322" spans="4:4" ht="14.25" customHeight="1">
      <x:c r="D322" s="5"/>
    </x:row>
    <x:row r="323" spans="4:4" ht="14.25" customHeight="1">
      <x:c r="D323" s="5"/>
    </x:row>
    <x:row r="324" spans="4:4" ht="14.25" customHeight="1">
      <x:c r="D324" s="5"/>
    </x:row>
    <x:row r="325" spans="4:4" ht="14.25" customHeight="1">
      <x:c r="D325" s="5"/>
    </x:row>
    <x:row r="326" spans="4:4" ht="14.25" customHeight="1">
      <x:c r="D326" s="5"/>
    </x:row>
    <x:row r="327" spans="4:4" ht="14.25" customHeight="1">
      <x:c r="D327" s="5"/>
    </x:row>
    <x:row r="328" spans="4:4" ht="14.25" customHeight="1">
      <x:c r="D328" s="5"/>
    </x:row>
    <x:row r="329" spans="4:4" ht="14.25" customHeight="1">
      <x:c r="D329" s="5"/>
    </x:row>
    <x:row r="330" spans="4:4" ht="14.25" customHeight="1">
      <x:c r="D330" s="5"/>
    </x:row>
    <x:row r="331" spans="4:4" ht="14.25" customHeight="1">
      <x:c r="D331" s="5"/>
    </x:row>
    <x:row r="332" spans="4:4" ht="14.25" customHeight="1">
      <x:c r="D332" s="5"/>
    </x:row>
    <x:row r="333" spans="4:4" ht="14.25" customHeight="1">
      <x:c r="D333" s="5"/>
    </x:row>
    <x:row r="334" spans="4:4" ht="14.25" customHeight="1">
      <x:c r="D334" s="5"/>
    </x:row>
    <x:row r="335" spans="4:4" ht="14.25" customHeight="1">
      <x:c r="D335" s="5"/>
    </x:row>
    <x:row r="336" spans="4:4" ht="14.25" customHeight="1">
      <x:c r="D336" s="5"/>
    </x:row>
    <x:row r="337" spans="4:4" ht="14.25" customHeight="1">
      <x:c r="D337" s="5"/>
    </x:row>
    <x:row r="338" spans="4:4" ht="14.25" customHeight="1">
      <x:c r="D338" s="5"/>
    </x:row>
    <x:row r="339" spans="4:4" ht="14.25" customHeight="1">
      <x:c r="D339" s="5"/>
    </x:row>
    <x:row r="340" spans="4:4" ht="14.25" customHeight="1">
      <x:c r="D340" s="5"/>
    </x:row>
    <x:row r="341" spans="4:4" ht="14.25" customHeight="1">
      <x:c r="D341" s="5"/>
    </x:row>
    <x:row r="342" spans="4:4" ht="14.25" customHeight="1">
      <x:c r="D342" s="5"/>
    </x:row>
    <x:row r="343" spans="4:4" ht="14.25" customHeight="1">
      <x:c r="D343" s="5"/>
    </x:row>
    <x:row r="344" spans="4:4" ht="14.25" customHeight="1">
      <x:c r="D344" s="5"/>
    </x:row>
    <x:row r="345" spans="4:4" ht="14.25" customHeight="1">
      <x:c r="D345" s="5"/>
    </x:row>
    <x:row r="346" spans="4:4" ht="14.25" customHeight="1">
      <x:c r="D346" s="5"/>
    </x:row>
    <x:row r="347" spans="4:4" ht="14.25" customHeight="1">
      <x:c r="D347" s="5"/>
    </x:row>
    <x:row r="348" spans="4:4" ht="14.25" customHeight="1">
      <x:c r="D348" s="5"/>
    </x:row>
    <x:row r="349" spans="4:4" ht="14.25" customHeight="1">
      <x:c r="D349" s="5"/>
    </x:row>
    <x:row r="350" spans="4:4" ht="14.25" customHeight="1">
      <x:c r="D350" s="5"/>
    </x:row>
    <x:row r="351" spans="4:4" ht="14.25" customHeight="1">
      <x:c r="D351" s="5"/>
    </x:row>
    <x:row r="352" spans="4:4" ht="14.25" customHeight="1">
      <x:c r="D352" s="5"/>
    </x:row>
    <x:row r="353" spans="4:4" ht="14.25" customHeight="1">
      <x:c r="D353" s="5"/>
    </x:row>
    <x:row r="354" spans="4:4" ht="14.25" customHeight="1">
      <x:c r="D354" s="5"/>
    </x:row>
    <x:row r="355" spans="4:4" ht="14.25" customHeight="1">
      <x:c r="D355" s="5"/>
    </x:row>
    <x:row r="356" spans="4:4" ht="14.25" customHeight="1">
      <x:c r="D356" s="5"/>
    </x:row>
    <x:row r="357" spans="4:4" ht="14.25" customHeight="1">
      <x:c r="D357" s="5"/>
    </x:row>
    <x:row r="358" spans="4:4" ht="14.25" customHeight="1">
      <x:c r="D358" s="5"/>
    </x:row>
    <x:row r="359" spans="4:4" ht="14.25" customHeight="1">
      <x:c r="D359" s="5"/>
    </x:row>
    <x:row r="360" spans="4:4" ht="14.25" customHeight="1">
      <x:c r="D360" s="5"/>
    </x:row>
    <x:row r="361" spans="4:4" ht="14.25" customHeight="1">
      <x:c r="D361" s="5"/>
    </x:row>
    <x:row r="362" spans="4:4" ht="14.25" customHeight="1">
      <x:c r="D362" s="5"/>
    </x:row>
    <x:row r="363" spans="4:4" ht="14.25" customHeight="1">
      <x:c r="D363" s="5"/>
    </x:row>
    <x:row r="364" spans="4:4" ht="14.25" customHeight="1">
      <x:c r="D364" s="5"/>
    </x:row>
    <x:row r="365" spans="4:4" ht="14.25" customHeight="1">
      <x:c r="D365" s="5"/>
    </x:row>
    <x:row r="366" spans="4:4" ht="14.25" customHeight="1">
      <x:c r="D366" s="5"/>
    </x:row>
    <x:row r="367" spans="4:4" ht="14.25" customHeight="1">
      <x:c r="D367" s="5"/>
    </x:row>
    <x:row r="368" spans="4:4" ht="14.25" customHeight="1">
      <x:c r="D368" s="5"/>
    </x:row>
    <x:row r="369" spans="4:4" ht="14.25" customHeight="1">
      <x:c r="D369" s="5"/>
    </x:row>
    <x:row r="370" spans="4:4" ht="14.25" customHeight="1">
      <x:c r="D370" s="5"/>
    </x:row>
    <x:row r="371" spans="4:4" ht="14.25" customHeight="1">
      <x:c r="D371" s="5"/>
    </x:row>
    <x:row r="372" spans="4:4" ht="14.25" customHeight="1">
      <x:c r="D372" s="5"/>
    </x:row>
    <x:row r="373" spans="4:4" ht="14.25" customHeight="1">
      <x:c r="D373" s="5"/>
    </x:row>
    <x:row r="374" spans="4:4" ht="14.25" customHeight="1">
      <x:c r="D374" s="5"/>
    </x:row>
    <x:row r="375" spans="4:4" ht="14.25" customHeight="1">
      <x:c r="D375" s="5"/>
    </x:row>
    <x:row r="376" spans="4:4" ht="14.25" customHeight="1">
      <x:c r="D376" s="5"/>
    </x:row>
    <x:row r="377" spans="4:4" ht="14.25" customHeight="1">
      <x:c r="D377" s="5"/>
    </x:row>
    <x:row r="378" spans="4:4" ht="14.25" customHeight="1">
      <x:c r="D378" s="5"/>
    </x:row>
    <x:row r="379" spans="4:4" ht="14.25" customHeight="1">
      <x:c r="D379" s="5"/>
    </x:row>
    <x:row r="380" spans="4:4" ht="14.25" customHeight="1">
      <x:c r="D380" s="5"/>
    </x:row>
    <x:row r="381" spans="4:4" ht="14.25" customHeight="1">
      <x:c r="D381" s="5"/>
    </x:row>
    <x:row r="382" spans="4:4" ht="14.25" customHeight="1">
      <x:c r="D382" s="5"/>
    </x:row>
    <x:row r="383" spans="4:4" ht="14.25" customHeight="1">
      <x:c r="D383" s="5"/>
    </x:row>
    <x:row r="384" spans="4:4" ht="14.25" customHeight="1">
      <x:c r="D384" s="5"/>
    </x:row>
    <x:row r="385" spans="4:4" ht="14.25" customHeight="1">
      <x:c r="D385" s="5"/>
    </x:row>
    <x:row r="386" spans="4:4" ht="14.25" customHeight="1">
      <x:c r="D386" s="5"/>
    </x:row>
    <x:row r="387" spans="4:4" ht="14.25" customHeight="1">
      <x:c r="D387" s="5"/>
    </x:row>
    <x:row r="388" spans="4:4" ht="14.25" customHeight="1">
      <x:c r="D388" s="5"/>
    </x:row>
    <x:row r="389" spans="4:4" ht="14.25" customHeight="1">
      <x:c r="D389" s="5"/>
    </x:row>
    <x:row r="390" spans="4:4" ht="14.25" customHeight="1">
      <x:c r="D390" s="5"/>
    </x:row>
    <x:row r="391" spans="4:4" ht="14.25" customHeight="1">
      <x:c r="D391" s="5"/>
    </x:row>
    <x:row r="392" spans="4:4" ht="14.25" customHeight="1">
      <x:c r="D392" s="5"/>
    </x:row>
    <x:row r="393" spans="4:4" ht="14.25" customHeight="1">
      <x:c r="D393" s="5"/>
    </x:row>
    <x:row r="394" spans="4:4" ht="14.25" customHeight="1">
      <x:c r="D394" s="5"/>
    </x:row>
    <x:row r="395" spans="4:4" ht="14.25" customHeight="1">
      <x:c r="D395" s="5"/>
    </x:row>
    <x:row r="396" spans="4:4" ht="14.25" customHeight="1">
      <x:c r="D396" s="5"/>
    </x:row>
    <x:row r="397" spans="4:4" ht="14.25" customHeight="1">
      <x:c r="D397" s="5"/>
    </x:row>
    <x:row r="398" spans="4:4" ht="14.25" customHeight="1">
      <x:c r="D398" s="5"/>
    </x:row>
    <x:row r="399" spans="4:4" ht="14.25" customHeight="1">
      <x:c r="D399" s="5"/>
    </x:row>
    <x:row r="400" spans="4:4" ht="14.25" customHeight="1">
      <x:c r="D400" s="5"/>
    </x:row>
    <x:row r="401" spans="4:4" ht="14.25" customHeight="1">
      <x:c r="D401" s="5"/>
    </x:row>
    <x:row r="402" spans="4:4" ht="14.25" customHeight="1">
      <x:c r="D402" s="5"/>
    </x:row>
    <x:row r="403" spans="4:4" ht="14.25" customHeight="1">
      <x:c r="D403" s="5"/>
    </x:row>
    <x:row r="404" spans="4:4" ht="14.25" customHeight="1">
      <x:c r="D404" s="5"/>
    </x:row>
    <x:row r="405" spans="4:4" ht="14.25" customHeight="1">
      <x:c r="D405" s="5"/>
    </x:row>
    <x:row r="406" spans="4:4" ht="14.25" customHeight="1">
      <x:c r="D406" s="5"/>
    </x:row>
    <x:row r="407" spans="4:4" ht="14.25" customHeight="1">
      <x:c r="D407" s="5"/>
    </x:row>
    <x:row r="408" spans="4:4" ht="14.25" customHeight="1">
      <x:c r="D408" s="5"/>
    </x:row>
    <x:row r="409" spans="4:4" ht="14.25" customHeight="1">
      <x:c r="D409" s="5"/>
    </x:row>
    <x:row r="410" spans="4:4" ht="14.25" customHeight="1">
      <x:c r="D410" s="5"/>
    </x:row>
    <x:row r="411" spans="4:4" ht="14.25" customHeight="1">
      <x:c r="D411" s="5"/>
    </x:row>
    <x:row r="412" spans="4:4" ht="14.25" customHeight="1">
      <x:c r="D412" s="5"/>
    </x:row>
    <x:row r="413" spans="4:4" ht="14.25" customHeight="1">
      <x:c r="D413" s="5"/>
    </x:row>
    <x:row r="414" spans="4:4" ht="14.25" customHeight="1">
      <x:c r="D414" s="5"/>
    </x:row>
    <x:row r="415" spans="4:4" ht="14.25" customHeight="1">
      <x:c r="D415" s="5"/>
    </x:row>
    <x:row r="416" spans="4:4" ht="14.25" customHeight="1">
      <x:c r="D416" s="5"/>
    </x:row>
    <x:row r="417" spans="4:4" ht="14.25" customHeight="1">
      <x:c r="D417" s="5"/>
    </x:row>
    <x:row r="418" spans="4:4" ht="14.25" customHeight="1">
      <x:c r="D418" s="5"/>
    </x:row>
    <x:row r="419" spans="4:4" ht="14.25" customHeight="1">
      <x:c r="D419" s="5"/>
    </x:row>
    <x:row r="420" spans="4:4" ht="14.25" customHeight="1">
      <x:c r="D420" s="5"/>
    </x:row>
    <x:row r="421" spans="4:4" ht="14.25" customHeight="1">
      <x:c r="D421" s="5"/>
    </x:row>
    <x:row r="422" spans="4:4" ht="14.25" customHeight="1">
      <x:c r="D422" s="5"/>
    </x:row>
    <x:row r="423" spans="4:4" ht="14.25" customHeight="1">
      <x:c r="D423" s="5"/>
    </x:row>
    <x:row r="424" spans="4:4" ht="14.25" customHeight="1">
      <x:c r="D424" s="5"/>
    </x:row>
    <x:row r="425" spans="4:4" ht="14.25" customHeight="1">
      <x:c r="D425" s="5"/>
    </x:row>
    <x:row r="426" spans="4:4" ht="14.25" customHeight="1">
      <x:c r="D426" s="5"/>
    </x:row>
    <x:row r="427" spans="4:4" ht="14.25" customHeight="1">
      <x:c r="D427" s="5"/>
    </x:row>
    <x:row r="428" spans="4:4" ht="14.25" customHeight="1">
      <x:c r="D428" s="5"/>
    </x:row>
    <x:row r="429" spans="4:4" ht="14.25" customHeight="1">
      <x:c r="D429" s="5"/>
    </x:row>
    <x:row r="430" spans="4:4" ht="14.25" customHeight="1">
      <x:c r="D430" s="5"/>
    </x:row>
    <x:row r="431" spans="4:4" ht="14.25" customHeight="1">
      <x:c r="D431" s="5"/>
    </x:row>
    <x:row r="432" spans="4:4" ht="14.25" customHeight="1">
      <x:c r="D432" s="5"/>
    </x:row>
    <x:row r="433" spans="4:4" ht="14.25" customHeight="1">
      <x:c r="D433" s="5"/>
    </x:row>
    <x:row r="434" spans="4:4" ht="14.25" customHeight="1">
      <x:c r="D434" s="5"/>
    </x:row>
    <x:row r="435" spans="4:4" ht="14.25" customHeight="1">
      <x:c r="D435" s="5"/>
    </x:row>
    <x:row r="436" spans="4:4" ht="14.25" customHeight="1">
      <x:c r="D436" s="5"/>
    </x:row>
    <x:row r="437" spans="4:4" ht="14.25" customHeight="1">
      <x:c r="D437" s="5"/>
    </x:row>
    <x:row r="438" spans="4:4" ht="14.25" customHeight="1">
      <x:c r="D438" s="5"/>
    </x:row>
    <x:row r="439" spans="4:4" ht="14.25" customHeight="1">
      <x:c r="D439" s="5"/>
    </x:row>
    <x:row r="440" spans="4:4" ht="14.25" customHeight="1">
      <x:c r="D440" s="5"/>
    </x:row>
    <x:row r="441" spans="4:4" ht="14.25" customHeight="1">
      <x:c r="D441" s="5"/>
    </x:row>
    <x:row r="442" spans="4:4" ht="14.25" customHeight="1">
      <x:c r="D442" s="5"/>
    </x:row>
    <x:row r="443" spans="4:4" ht="14.25" customHeight="1">
      <x:c r="D443" s="5"/>
    </x:row>
    <x:row r="444" spans="4:4" ht="14.25" customHeight="1">
      <x:c r="D444" s="5"/>
    </x:row>
    <x:row r="445" spans="4:4" ht="14.25" customHeight="1">
      <x:c r="D445" s="5"/>
    </x:row>
    <x:row r="446" spans="4:4" ht="14.25" customHeight="1">
      <x:c r="D446" s="5"/>
    </x:row>
    <x:row r="447" spans="4:4" ht="14.25" customHeight="1">
      <x:c r="D447" s="5"/>
    </x:row>
    <x:row r="448" spans="4:4" ht="14.25" customHeight="1">
      <x:c r="D448" s="5"/>
    </x:row>
    <x:row r="449" spans="4:4" ht="14.25" customHeight="1">
      <x:c r="D449" s="5"/>
    </x:row>
    <x:row r="450" spans="4:4" ht="14.25" customHeight="1">
      <x:c r="D450" s="5"/>
    </x:row>
    <x:row r="451" spans="4:4" ht="14.25" customHeight="1">
      <x:c r="D451" s="5"/>
    </x:row>
    <x:row r="452" spans="4:4" ht="14.25" customHeight="1">
      <x:c r="D452" s="5"/>
    </x:row>
    <x:row r="453" spans="4:4" ht="14.25" customHeight="1">
      <x:c r="D453" s="5"/>
    </x:row>
    <x:row r="454" spans="4:4" ht="14.25" customHeight="1">
      <x:c r="D454" s="5"/>
    </x:row>
    <x:row r="455" spans="4:4" ht="14.25" customHeight="1">
      <x:c r="D455" s="5"/>
    </x:row>
    <x:row r="456" spans="4:4" ht="14.25" customHeight="1">
      <x:c r="D456" s="5"/>
    </x:row>
    <x:row r="457" spans="4:4" ht="14.25" customHeight="1">
      <x:c r="D457" s="5"/>
    </x:row>
    <x:row r="458" spans="4:4" ht="14.25" customHeight="1">
      <x:c r="D458" s="5"/>
    </x:row>
    <x:row r="459" spans="4:4" ht="14.25" customHeight="1">
      <x:c r="D459" s="5"/>
    </x:row>
    <x:row r="460" spans="4:4" ht="14.25" customHeight="1">
      <x:c r="D460" s="5"/>
    </x:row>
    <x:row r="461" spans="4:4" ht="14.25" customHeight="1">
      <x:c r="D461" s="5"/>
    </x:row>
    <x:row r="462" spans="4:4" ht="14.25" customHeight="1">
      <x:c r="D462" s="5"/>
    </x:row>
    <x:row r="463" spans="4:4" ht="14.25" customHeight="1">
      <x:c r="D463" s="5"/>
    </x:row>
    <x:row r="464" spans="4:4" ht="14.25" customHeight="1">
      <x:c r="D464" s="5"/>
    </x:row>
    <x:row r="465" spans="4:4" ht="14.25" customHeight="1">
      <x:c r="D465" s="5"/>
    </x:row>
    <x:row r="466" spans="4:4" ht="14.25" customHeight="1">
      <x:c r="D466" s="5"/>
    </x:row>
    <x:row r="467" spans="4:4" ht="14.25" customHeight="1">
      <x:c r="D467" s="5"/>
    </x:row>
    <x:row r="468" spans="4:4" ht="14.25" customHeight="1">
      <x:c r="D468" s="5"/>
    </x:row>
    <x:row r="469" spans="4:4" ht="14.25" customHeight="1">
      <x:c r="D469" s="5"/>
    </x:row>
    <x:row r="470" spans="4:4" ht="14.25" customHeight="1">
      <x:c r="D470" s="5"/>
    </x:row>
    <x:row r="471" spans="4:4" ht="14.25" customHeight="1">
      <x:c r="D471" s="5"/>
    </x:row>
    <x:row r="472" spans="4:4" ht="14.25" customHeight="1">
      <x:c r="D472" s="5"/>
    </x:row>
    <x:row r="473" spans="4:4" ht="14.25" customHeight="1">
      <x:c r="D473" s="5"/>
    </x:row>
    <x:row r="474" spans="4:4" ht="14.25" customHeight="1">
      <x:c r="D474" s="5"/>
    </x:row>
    <x:row r="475" spans="4:4" ht="14.25" customHeight="1">
      <x:c r="D475" s="5"/>
    </x:row>
    <x:row r="476" spans="4:4" ht="14.25" customHeight="1">
      <x:c r="D476" s="5"/>
    </x:row>
    <x:row r="477" spans="4:4" ht="14.25" customHeight="1">
      <x:c r="D477" s="5"/>
    </x:row>
    <x:row r="478" spans="4:4" ht="14.25" customHeight="1">
      <x:c r="D478" s="5"/>
    </x:row>
    <x:row r="479" spans="4:4" ht="14.25" customHeight="1">
      <x:c r="D479" s="5"/>
    </x:row>
    <x:row r="480" spans="4:4" ht="14.25" customHeight="1">
      <x:c r="D480" s="5"/>
    </x:row>
    <x:row r="481" spans="4:4" ht="14.25" customHeight="1">
      <x:c r="D481" s="5"/>
    </x:row>
    <x:row r="482" spans="4:4" ht="14.25" customHeight="1">
      <x:c r="D482" s="5"/>
    </x:row>
    <x:row r="483" spans="4:4" ht="14.25" customHeight="1">
      <x:c r="D483" s="5"/>
    </x:row>
    <x:row r="484" spans="4:4" ht="14.25" customHeight="1">
      <x:c r="D484" s="5"/>
    </x:row>
    <x:row r="485" spans="4:4" ht="14.25" customHeight="1">
      <x:c r="D485" s="5"/>
    </x:row>
    <x:row r="486" spans="4:4" ht="14.25" customHeight="1">
      <x:c r="D486" s="5"/>
    </x:row>
    <x:row r="487" spans="4:4" ht="14.25" customHeight="1">
      <x:c r="D487" s="5"/>
    </x:row>
    <x:row r="488" spans="4:4" ht="14.25" customHeight="1">
      <x:c r="D488" s="5"/>
    </x:row>
    <x:row r="489" spans="4:4" ht="14.25" customHeight="1">
      <x:c r="D489" s="5"/>
    </x:row>
    <x:row r="490" spans="4:4" ht="14.25" customHeight="1">
      <x:c r="D490" s="5"/>
    </x:row>
    <x:row r="491" spans="4:4" ht="14.25" customHeight="1">
      <x:c r="D491" s="5"/>
    </x:row>
    <x:row r="492" spans="4:4" ht="14.25" customHeight="1">
      <x:c r="D492" s="5"/>
    </x:row>
    <x:row r="493" spans="4:4" ht="14.25" customHeight="1">
      <x:c r="D493" s="5"/>
    </x:row>
    <x:row r="494" spans="4:4" ht="14.25" customHeight="1">
      <x:c r="D494" s="5"/>
    </x:row>
    <x:row r="495" spans="4:4" ht="14.25" customHeight="1">
      <x:c r="D495" s="5"/>
    </x:row>
    <x:row r="496" spans="4:4" ht="14.25" customHeight="1">
      <x:c r="D496" s="5"/>
    </x:row>
    <x:row r="497" spans="4:4" ht="14.25" customHeight="1">
      <x:c r="D497" s="5"/>
    </x:row>
    <x:row r="498" spans="4:4" ht="14.25" customHeight="1">
      <x:c r="D498" s="5"/>
    </x:row>
    <x:row r="499" spans="4:4" ht="14.25" customHeight="1">
      <x:c r="D499" s="5"/>
    </x:row>
    <x:row r="500" spans="4:4" ht="14.25" customHeight="1">
      <x:c r="D500" s="5"/>
    </x:row>
    <x:row r="501" spans="4:4" ht="14.25" customHeight="1">
      <x:c r="D501" s="5"/>
    </x:row>
    <x:row r="502" spans="4:4" ht="14.25" customHeight="1">
      <x:c r="D502" s="5"/>
    </x:row>
    <x:row r="503" spans="4:4" ht="14.25" customHeight="1">
      <x:c r="D503" s="5"/>
    </x:row>
    <x:row r="504" spans="4:4" ht="14.25" customHeight="1">
      <x:c r="D504" s="5"/>
    </x:row>
    <x:row r="505" spans="4:4" ht="14.25" customHeight="1">
      <x:c r="D505" s="5"/>
    </x:row>
    <x:row r="506" spans="4:4" ht="14.25" customHeight="1">
      <x:c r="D506" s="5"/>
    </x:row>
    <x:row r="507" spans="4:4" ht="14.25" customHeight="1">
      <x:c r="D507" s="5"/>
    </x:row>
    <x:row r="508" spans="4:4" ht="14.25" customHeight="1">
      <x:c r="D508" s="5"/>
    </x:row>
    <x:row r="509" spans="4:4" ht="14.25" customHeight="1">
      <x:c r="D509" s="5"/>
    </x:row>
    <x:row r="510" spans="4:4" ht="14.25" customHeight="1">
      <x:c r="D510" s="5"/>
    </x:row>
    <x:row r="511" spans="4:4" ht="14.25" customHeight="1">
      <x:c r="D511" s="5"/>
    </x:row>
    <x:row r="512" spans="4:4" ht="14.25" customHeight="1">
      <x:c r="D512" s="5"/>
    </x:row>
    <x:row r="513" spans="4:4" ht="14.25" customHeight="1">
      <x:c r="D513" s="5"/>
    </x:row>
    <x:row r="514" spans="4:4" ht="14.25" customHeight="1">
      <x:c r="D514" s="5"/>
    </x:row>
    <x:row r="515" spans="4:4" ht="14.25" customHeight="1">
      <x:c r="D515" s="5"/>
    </x:row>
    <x:row r="516" spans="4:4" ht="14.25" customHeight="1">
      <x:c r="D516" s="5"/>
    </x:row>
    <x:row r="517" spans="4:4" ht="14.25" customHeight="1">
      <x:c r="D517" s="5"/>
    </x:row>
    <x:row r="518" spans="4:4" ht="14.25" customHeight="1">
      <x:c r="D518" s="5"/>
    </x:row>
    <x:row r="519" spans="4:4" ht="14.25" customHeight="1">
      <x:c r="D519" s="5"/>
    </x:row>
    <x:row r="520" spans="4:4" ht="14.25" customHeight="1">
      <x:c r="D520" s="5"/>
    </x:row>
    <x:row r="521" spans="4:4" ht="14.25" customHeight="1">
      <x:c r="D521" s="5"/>
    </x:row>
    <x:row r="522" spans="4:4" ht="14.25" customHeight="1">
      <x:c r="D522" s="5"/>
    </x:row>
    <x:row r="523" spans="4:4" ht="14.25" customHeight="1">
      <x:c r="D523" s="5"/>
    </x:row>
    <x:row r="524" spans="4:4" ht="14.25" customHeight="1">
      <x:c r="D524" s="5"/>
    </x:row>
    <x:row r="525" spans="4:4" ht="14.25" customHeight="1">
      <x:c r="D525" s="5"/>
    </x:row>
    <x:row r="526" spans="4:4" ht="14.25" customHeight="1">
      <x:c r="D526" s="5"/>
    </x:row>
    <x:row r="527" spans="4:4" ht="14.25" customHeight="1">
      <x:c r="D527" s="5"/>
    </x:row>
    <x:row r="528" spans="4:4" ht="14.25" customHeight="1">
      <x:c r="D528" s="5"/>
    </x:row>
    <x:row r="529" spans="4:4" ht="14.25" customHeight="1">
      <x:c r="D529" s="5"/>
    </x:row>
    <x:row r="530" spans="4:4" ht="14.25" customHeight="1">
      <x:c r="D530" s="5"/>
    </x:row>
    <x:row r="531" spans="4:4" ht="14.25" customHeight="1">
      <x:c r="D531" s="5"/>
    </x:row>
    <x:row r="532" spans="4:4" ht="14.25" customHeight="1">
      <x:c r="D532" s="5"/>
    </x:row>
    <x:row r="533" spans="4:4" ht="14.25" customHeight="1">
      <x:c r="D533" s="5"/>
    </x:row>
    <x:row r="534" spans="4:4" ht="14.25" customHeight="1">
      <x:c r="D534" s="5"/>
    </x:row>
    <x:row r="535" spans="4:4" ht="14.25" customHeight="1">
      <x:c r="D535" s="5"/>
    </x:row>
    <x:row r="536" spans="4:4" ht="14.25" customHeight="1">
      <x:c r="D536" s="5"/>
    </x:row>
    <x:row r="537" spans="4:4" ht="14.25" customHeight="1">
      <x:c r="D537" s="5"/>
    </x:row>
    <x:row r="538" spans="4:4" ht="14.25" customHeight="1">
      <x:c r="D538" s="5"/>
    </x:row>
    <x:row r="539" spans="4:4" ht="14.25" customHeight="1">
      <x:c r="D539" s="5"/>
    </x:row>
    <x:row r="540" spans="4:4" ht="14.25" customHeight="1">
      <x:c r="D540" s="5"/>
    </x:row>
    <x:row r="541" spans="4:4" ht="14.25" customHeight="1">
      <x:c r="D541" s="5"/>
    </x:row>
    <x:row r="542" spans="4:4" ht="14.25" customHeight="1">
      <x:c r="D542" s="5"/>
    </x:row>
    <x:row r="543" spans="4:4" ht="14.25" customHeight="1">
      <x:c r="D543" s="5"/>
    </x:row>
    <x:row r="544" spans="4:4" ht="14.25" customHeight="1">
      <x:c r="D544" s="5"/>
    </x:row>
    <x:row r="545" spans="4:4" ht="14.25" customHeight="1">
      <x:c r="D545" s="5"/>
    </x:row>
    <x:row r="546" spans="4:4" ht="14.25" customHeight="1">
      <x:c r="D546" s="5"/>
    </x:row>
    <x:row r="547" spans="4:4" ht="14.25" customHeight="1">
      <x:c r="D547" s="5"/>
    </x:row>
    <x:row r="548" spans="4:4" ht="14.25" customHeight="1">
      <x:c r="D548" s="5"/>
    </x:row>
    <x:row r="549" spans="4:4" ht="14.25" customHeight="1">
      <x:c r="D549" s="5"/>
    </x:row>
    <x:row r="550" spans="4:4" ht="14.25" customHeight="1">
      <x:c r="D550" s="5"/>
    </x:row>
    <x:row r="551" spans="4:4" ht="14.25" customHeight="1">
      <x:c r="D551" s="5"/>
    </x:row>
    <x:row r="552" spans="4:4" ht="14.25" customHeight="1">
      <x:c r="D552" s="5"/>
    </x:row>
    <x:row r="553" spans="4:4" ht="14.25" customHeight="1">
      <x:c r="D553" s="5"/>
    </x:row>
    <x:row r="554" spans="4:4" ht="14.25" customHeight="1">
      <x:c r="D554" s="5"/>
    </x:row>
    <x:row r="555" spans="4:4" ht="14.25" customHeight="1">
      <x:c r="D555" s="5"/>
    </x:row>
    <x:row r="556" spans="4:4" ht="14.25" customHeight="1">
      <x:c r="D556" s="5"/>
    </x:row>
    <x:row r="557" spans="4:4" ht="14.25" customHeight="1">
      <x:c r="D557" s="5"/>
    </x:row>
    <x:row r="558" spans="4:4" ht="14.25" customHeight="1">
      <x:c r="D558" s="5"/>
    </x:row>
    <x:row r="559" spans="4:4" ht="14.25" customHeight="1">
      <x:c r="D559" s="5"/>
    </x:row>
    <x:row r="560" spans="4:4" ht="14.25" customHeight="1">
      <x:c r="D560" s="5"/>
    </x:row>
    <x:row r="561" spans="4:4" ht="14.25" customHeight="1">
      <x:c r="D561" s="5"/>
    </x:row>
    <x:row r="562" spans="4:4" ht="14.25" customHeight="1">
      <x:c r="D562" s="5"/>
    </x:row>
    <x:row r="563" spans="4:4" ht="14.25" customHeight="1">
      <x:c r="D563" s="5"/>
    </x:row>
    <x:row r="564" spans="4:4" ht="14.25" customHeight="1">
      <x:c r="D564" s="5"/>
    </x:row>
    <x:row r="565" spans="4:4" ht="14.25" customHeight="1">
      <x:c r="D565" s="5"/>
    </x:row>
    <x:row r="566" spans="4:4" ht="14.25" customHeight="1">
      <x:c r="D566" s="5"/>
    </x:row>
    <x:row r="567" spans="4:4" ht="14.25" customHeight="1">
      <x:c r="D567" s="5"/>
    </x:row>
    <x:row r="568" spans="4:4" ht="14.25" customHeight="1">
      <x:c r="D568" s="5"/>
    </x:row>
    <x:row r="569" spans="4:4" ht="14.25" customHeight="1">
      <x:c r="D569" s="5"/>
    </x:row>
    <x:row r="570" spans="4:4" ht="14.25" customHeight="1">
      <x:c r="D570" s="5"/>
    </x:row>
    <x:row r="571" spans="4:4" ht="14.25" customHeight="1">
      <x:c r="D571" s="5"/>
    </x:row>
    <x:row r="572" spans="4:4" ht="14.25" customHeight="1">
      <x:c r="D572" s="5"/>
    </x:row>
    <x:row r="573" spans="4:4" ht="14.25" customHeight="1">
      <x:c r="D573" s="5"/>
    </x:row>
    <x:row r="574" spans="4:4" ht="14.25" customHeight="1">
      <x:c r="D574" s="5"/>
    </x:row>
    <x:row r="575" spans="4:4" ht="14.25" customHeight="1">
      <x:c r="D575" s="5"/>
    </x:row>
    <x:row r="576" spans="4:4" ht="14.25" customHeight="1">
      <x:c r="D576" s="5"/>
    </x:row>
    <x:row r="577" spans="4:4" ht="14.25" customHeight="1">
      <x:c r="D577" s="5"/>
    </x:row>
    <x:row r="578" spans="4:4" ht="14.25" customHeight="1">
      <x:c r="D578" s="5"/>
    </x:row>
    <x:row r="579" spans="4:4" ht="14.25" customHeight="1">
      <x:c r="D579" s="5"/>
    </x:row>
    <x:row r="580" spans="4:4" ht="14.25" customHeight="1">
      <x:c r="D580" s="5"/>
    </x:row>
    <x:row r="581" spans="4:4" ht="14.25" customHeight="1">
      <x:c r="D581" s="5"/>
    </x:row>
    <x:row r="582" spans="4:4" ht="14.25" customHeight="1">
      <x:c r="D582" s="5"/>
    </x:row>
    <x:row r="583" spans="4:4" ht="14.25" customHeight="1">
      <x:c r="D583" s="5"/>
    </x:row>
    <x:row r="584" spans="4:4" ht="14.25" customHeight="1">
      <x:c r="D584" s="5"/>
    </x:row>
    <x:row r="585" spans="4:4" ht="14.25" customHeight="1">
      <x:c r="D585" s="5"/>
    </x:row>
    <x:row r="586" spans="4:4" ht="14.25" customHeight="1">
      <x:c r="D586" s="5"/>
    </x:row>
    <x:row r="587" spans="4:4" ht="14.25" customHeight="1">
      <x:c r="D587" s="5"/>
    </x:row>
    <x:row r="588" spans="4:4" ht="14.25" customHeight="1">
      <x:c r="D588" s="5"/>
    </x:row>
    <x:row r="589" spans="4:4" ht="14.25" customHeight="1">
      <x:c r="D589" s="5"/>
    </x:row>
    <x:row r="590" spans="4:4" ht="14.25" customHeight="1">
      <x:c r="D590" s="5"/>
    </x:row>
    <x:row r="591" spans="4:4" ht="14.25" customHeight="1">
      <x:c r="D591" s="5"/>
    </x:row>
    <x:row r="592" spans="4:4" ht="14.25" customHeight="1">
      <x:c r="D592" s="5"/>
    </x:row>
    <x:row r="593" spans="4:4" ht="14.25" customHeight="1">
      <x:c r="D593" s="5"/>
    </x:row>
    <x:row r="594" spans="4:4" ht="14.25" customHeight="1">
      <x:c r="D594" s="5"/>
    </x:row>
    <x:row r="595" spans="4:4" ht="14.25" customHeight="1">
      <x:c r="D595" s="5"/>
    </x:row>
    <x:row r="596" spans="4:4" ht="14.25" customHeight="1">
      <x:c r="D596" s="5"/>
    </x:row>
    <x:row r="597" spans="4:4" ht="14.25" customHeight="1">
      <x:c r="D597" s="5"/>
    </x:row>
    <x:row r="598" spans="4:4" ht="14.25" customHeight="1">
      <x:c r="D598" s="5"/>
    </x:row>
    <x:row r="599" spans="4:4" ht="14.25" customHeight="1">
      <x:c r="D599" s="5"/>
    </x:row>
    <x:row r="600" spans="4:4" ht="14.25" customHeight="1">
      <x:c r="D600" s="5"/>
    </x:row>
    <x:row r="601" spans="4:4" ht="14.25" customHeight="1">
      <x:c r="D601" s="5"/>
    </x:row>
    <x:row r="602" spans="4:4" ht="14.25" customHeight="1">
      <x:c r="D602" s="5"/>
    </x:row>
    <x:row r="603" spans="4:4" ht="14.25" customHeight="1">
      <x:c r="D603" s="5"/>
    </x:row>
    <x:row r="604" spans="4:4" ht="14.25" customHeight="1">
      <x:c r="D604" s="5"/>
    </x:row>
    <x:row r="605" spans="4:4" ht="14.25" customHeight="1">
      <x:c r="D605" s="5"/>
    </x:row>
    <x:row r="606" spans="4:4" ht="14.25" customHeight="1">
      <x:c r="D606" s="5"/>
    </x:row>
    <x:row r="607" spans="4:4" ht="14.25" customHeight="1">
      <x:c r="D607" s="5"/>
    </x:row>
    <x:row r="608" spans="4:4" ht="14.25" customHeight="1">
      <x:c r="D608" s="5"/>
    </x:row>
    <x:row r="609" spans="4:4" ht="14.25" customHeight="1">
      <x:c r="D609" s="5"/>
    </x:row>
    <x:row r="610" spans="4:4" ht="14.25" customHeight="1">
      <x:c r="D610" s="5"/>
    </x:row>
    <x:row r="611" spans="4:4" ht="14.25" customHeight="1">
      <x:c r="D611" s="5"/>
    </x:row>
    <x:row r="612" spans="4:4" ht="14.25" customHeight="1">
      <x:c r="D612" s="5"/>
    </x:row>
    <x:row r="613" spans="4:4" ht="14.25" customHeight="1">
      <x:c r="D613" s="5"/>
    </x:row>
    <x:row r="614" spans="4:4" ht="14.25" customHeight="1">
      <x:c r="D614" s="5"/>
    </x:row>
    <x:row r="615" spans="4:4" ht="14.25" customHeight="1">
      <x:c r="D615" s="5"/>
    </x:row>
    <x:row r="616" spans="4:4" ht="14.25" customHeight="1">
      <x:c r="D616" s="5"/>
    </x:row>
    <x:row r="617" spans="4:4" ht="14.25" customHeight="1">
      <x:c r="D617" s="5"/>
    </x:row>
    <x:row r="618" spans="4:4" ht="14.25" customHeight="1">
      <x:c r="D618" s="5"/>
    </x:row>
    <x:row r="619" spans="4:4" ht="14.25" customHeight="1">
      <x:c r="D619" s="5"/>
    </x:row>
    <x:row r="620" spans="4:4" ht="14.25" customHeight="1">
      <x:c r="D620" s="5"/>
    </x:row>
    <x:row r="621" spans="4:4" ht="14.25" customHeight="1">
      <x:c r="D621" s="5"/>
    </x:row>
    <x:row r="622" spans="4:4" ht="14.25" customHeight="1">
      <x:c r="D622" s="5"/>
    </x:row>
    <x:row r="623" spans="4:4" ht="14.25" customHeight="1">
      <x:c r="D623" s="5"/>
    </x:row>
    <x:row r="624" spans="4:4" ht="14.25" customHeight="1">
      <x:c r="D624" s="5"/>
    </x:row>
    <x:row r="625" spans="4:4" ht="14.25" customHeight="1">
      <x:c r="D625" s="5"/>
    </x:row>
    <x:row r="626" spans="4:4" ht="14.25" customHeight="1">
      <x:c r="D626" s="5"/>
    </x:row>
    <x:row r="627" spans="4:4" ht="14.25" customHeight="1">
      <x:c r="D627" s="5"/>
    </x:row>
    <x:row r="628" spans="4:4" ht="14.25" customHeight="1">
      <x:c r="D628" s="5"/>
    </x:row>
    <x:row r="629" spans="4:4" ht="14.25" customHeight="1">
      <x:c r="D629" s="5"/>
    </x:row>
    <x:row r="630" spans="4:4" ht="14.25" customHeight="1">
      <x:c r="D630" s="5"/>
    </x:row>
    <x:row r="631" spans="4:4" ht="14.25" customHeight="1">
      <x:c r="D631" s="5"/>
    </x:row>
    <x:row r="632" spans="4:4" ht="14.25" customHeight="1">
      <x:c r="D632" s="5"/>
    </x:row>
    <x:row r="633" spans="4:4" ht="14.25" customHeight="1">
      <x:c r="D633" s="5"/>
    </x:row>
    <x:row r="634" spans="4:4" ht="14.25" customHeight="1">
      <x:c r="D634" s="5"/>
    </x:row>
    <x:row r="635" spans="4:4" ht="14.25" customHeight="1">
      <x:c r="D635" s="5"/>
    </x:row>
    <x:row r="636" spans="4:4" ht="14.25" customHeight="1">
      <x:c r="D636" s="5"/>
    </x:row>
    <x:row r="637" spans="4:4" ht="14.25" customHeight="1">
      <x:c r="D637" s="5"/>
    </x:row>
    <x:row r="638" spans="4:4" ht="14.25" customHeight="1">
      <x:c r="D638" s="5"/>
    </x:row>
    <x:row r="639" spans="4:4" ht="14.25" customHeight="1">
      <x:c r="D639" s="5"/>
    </x:row>
    <x:row r="640" spans="4:4" ht="14.25" customHeight="1">
      <x:c r="D640" s="5"/>
    </x:row>
    <x:row r="641" spans="4:4" ht="14.25" customHeight="1">
      <x:c r="D641" s="5"/>
    </x:row>
    <x:row r="642" spans="4:4" ht="14.25" customHeight="1">
      <x:c r="D642" s="5"/>
    </x:row>
    <x:row r="643" spans="4:4" ht="14.25" customHeight="1">
      <x:c r="D643" s="5"/>
    </x:row>
    <x:row r="644" spans="4:4" ht="14.25" customHeight="1">
      <x:c r="D644" s="5"/>
    </x:row>
    <x:row r="645" spans="4:4" ht="14.25" customHeight="1">
      <x:c r="D645" s="5"/>
    </x:row>
    <x:row r="646" spans="4:4" ht="14.25" customHeight="1">
      <x:c r="D646" s="5"/>
    </x:row>
    <x:row r="647" spans="4:4" ht="14.25" customHeight="1">
      <x:c r="D647" s="5"/>
    </x:row>
    <x:row r="648" spans="4:4" ht="14.25" customHeight="1">
      <x:c r="D648" s="5"/>
    </x:row>
    <x:row r="649" spans="4:4" ht="14.25" customHeight="1">
      <x:c r="D649" s="5"/>
    </x:row>
    <x:row r="650" spans="4:4" ht="14.25" customHeight="1">
      <x:c r="D650" s="5"/>
    </x:row>
    <x:row r="651" spans="4:4" ht="14.25" customHeight="1">
      <x:c r="D651" s="5"/>
    </x:row>
    <x:row r="652" spans="4:4" ht="14.25" customHeight="1">
      <x:c r="D652" s="5"/>
    </x:row>
    <x:row r="653" spans="4:4" ht="14.25" customHeight="1">
      <x:c r="D653" s="5"/>
    </x:row>
    <x:row r="654" spans="4:4" ht="14.25" customHeight="1">
      <x:c r="D654" s="5"/>
    </x:row>
    <x:row r="655" spans="4:4" ht="14.25" customHeight="1">
      <x:c r="D655" s="5"/>
    </x:row>
    <x:row r="656" spans="4:4" ht="14.25" customHeight="1">
      <x:c r="D656" s="5"/>
    </x:row>
    <x:row r="657" spans="4:4" ht="14.25" customHeight="1">
      <x:c r="D657" s="5"/>
    </x:row>
    <x:row r="658" spans="4:4" ht="14.25" customHeight="1">
      <x:c r="D658" s="5"/>
    </x:row>
    <x:row r="659" spans="4:4" ht="14.25" customHeight="1">
      <x:c r="D659" s="5"/>
    </x:row>
    <x:row r="660" spans="4:4" ht="14.25" customHeight="1">
      <x:c r="D660" s="5"/>
    </x:row>
    <x:row r="661" spans="4:4" ht="14.25" customHeight="1">
      <x:c r="D661" s="5"/>
    </x:row>
    <x:row r="662" spans="4:4" ht="14.25" customHeight="1">
      <x:c r="D662" s="5"/>
    </x:row>
    <x:row r="663" spans="4:4" ht="14.25" customHeight="1">
      <x:c r="D663" s="5"/>
    </x:row>
    <x:row r="664" spans="4:4" ht="14.25" customHeight="1">
      <x:c r="D664" s="5"/>
    </x:row>
    <x:row r="665" spans="4:4" ht="14.25" customHeight="1">
      <x:c r="D665" s="5"/>
    </x:row>
    <x:row r="666" spans="4:4" ht="14.25" customHeight="1">
      <x:c r="D666" s="5"/>
    </x:row>
    <x:row r="667" spans="4:4" ht="14.25" customHeight="1">
      <x:c r="D667" s="5"/>
    </x:row>
    <x:row r="668" spans="4:4" ht="14.25" customHeight="1">
      <x:c r="D668" s="5"/>
    </x:row>
    <x:row r="669" spans="4:4" ht="14.25" customHeight="1">
      <x:c r="D669" s="5"/>
    </x:row>
    <x:row r="670" spans="4:4" ht="14.25" customHeight="1">
      <x:c r="D670" s="5"/>
    </x:row>
    <x:row r="671" spans="4:4" ht="14.25" customHeight="1">
      <x:c r="D671" s="5"/>
    </x:row>
    <x:row r="672" spans="4:4" ht="14.25" customHeight="1">
      <x:c r="D672" s="5"/>
    </x:row>
    <x:row r="673" spans="4:4" ht="14.25" customHeight="1">
      <x:c r="D673" s="5"/>
    </x:row>
    <x:row r="674" spans="4:4" ht="14.25" customHeight="1">
      <x:c r="D674" s="5"/>
    </x:row>
    <x:row r="675" spans="4:4" ht="14.25" customHeight="1">
      <x:c r="D675" s="5"/>
    </x:row>
    <x:row r="676" spans="4:4" ht="14.25" customHeight="1">
      <x:c r="D676" s="5"/>
    </x:row>
    <x:row r="677" spans="4:4" ht="14.25" customHeight="1">
      <x:c r="D677" s="5"/>
    </x:row>
    <x:row r="678" spans="4:4" ht="14.25" customHeight="1">
      <x:c r="D678" s="5"/>
    </x:row>
    <x:row r="679" spans="4:4" ht="14.25" customHeight="1">
      <x:c r="D679" s="5"/>
    </x:row>
    <x:row r="680" spans="4:4" ht="14.25" customHeight="1">
      <x:c r="D680" s="5"/>
    </x:row>
    <x:row r="681" spans="4:4" ht="14.25" customHeight="1">
      <x:c r="D681" s="5"/>
    </x:row>
    <x:row r="682" spans="4:4" ht="14.25" customHeight="1">
      <x:c r="D682" s="5"/>
    </x:row>
    <x:row r="683" spans="4:4" ht="14.25" customHeight="1">
      <x:c r="D683" s="5"/>
    </x:row>
    <x:row r="684" spans="4:4" ht="14.25" customHeight="1">
      <x:c r="D684" s="5"/>
    </x:row>
    <x:row r="685" spans="4:4" ht="14.25" customHeight="1">
      <x:c r="D685" s="5"/>
    </x:row>
    <x:row r="686" spans="4:4" ht="14.25" customHeight="1">
      <x:c r="D686" s="5"/>
    </x:row>
    <x:row r="687" spans="4:4" ht="14.25" customHeight="1">
      <x:c r="D687" s="5"/>
    </x:row>
    <x:row r="688" spans="4:4" ht="14.25" customHeight="1">
      <x:c r="D688" s="5"/>
    </x:row>
    <x:row r="689" spans="4:4" ht="14.25" customHeight="1">
      <x:c r="D689" s="5"/>
    </x:row>
    <x:row r="690" spans="4:4" ht="14.25" customHeight="1">
      <x:c r="D690" s="5"/>
    </x:row>
    <x:row r="691" spans="4:4" ht="14.25" customHeight="1">
      <x:c r="D691" s="5"/>
    </x:row>
    <x:row r="692" spans="4:4" ht="14.25" customHeight="1">
      <x:c r="D692" s="5"/>
    </x:row>
    <x:row r="693" spans="4:4" ht="14.25" customHeight="1">
      <x:c r="D693" s="5"/>
    </x:row>
    <x:row r="694" spans="4:4" ht="14.25" customHeight="1">
      <x:c r="D694" s="5"/>
    </x:row>
    <x:row r="695" spans="4:4" ht="14.25" customHeight="1">
      <x:c r="D695" s="5"/>
    </x:row>
    <x:row r="696" spans="4:4" ht="14.25" customHeight="1">
      <x:c r="D696" s="5"/>
    </x:row>
    <x:row r="697" spans="4:4" ht="14.25" customHeight="1">
      <x:c r="D697" s="5"/>
    </x:row>
    <x:row r="698" spans="4:4" ht="14.25" customHeight="1">
      <x:c r="D698" s="5"/>
    </x:row>
    <x:row r="699" spans="4:4" ht="14.25" customHeight="1">
      <x:c r="D699" s="5"/>
    </x:row>
    <x:row r="700" spans="4:4" ht="14.25" customHeight="1">
      <x:c r="D700" s="5"/>
    </x:row>
    <x:row r="701" spans="4:4" ht="14.25" customHeight="1">
      <x:c r="D701" s="5"/>
    </x:row>
    <x:row r="702" spans="4:4" ht="14.25" customHeight="1">
      <x:c r="D702" s="5"/>
    </x:row>
    <x:row r="703" spans="4:4" ht="14.25" customHeight="1">
      <x:c r="D703" s="5"/>
    </x:row>
    <x:row r="704" spans="4:4" ht="14.25" customHeight="1">
      <x:c r="D704" s="5"/>
    </x:row>
    <x:row r="705" spans="4:4" ht="14.25" customHeight="1">
      <x:c r="D705" s="5"/>
    </x:row>
    <x:row r="706" spans="4:4" ht="14.25" customHeight="1">
      <x:c r="D706" s="5"/>
    </x:row>
    <x:row r="707" spans="4:4" ht="14.25" customHeight="1">
      <x:c r="D707" s="5"/>
    </x:row>
    <x:row r="708" spans="4:4" ht="14.25" customHeight="1">
      <x:c r="D708" s="5"/>
    </x:row>
    <x:row r="709" spans="4:4" ht="14.25" customHeight="1">
      <x:c r="D709" s="5"/>
    </x:row>
    <x:row r="710" spans="4:4" ht="14.25" customHeight="1">
      <x:c r="D710" s="5"/>
    </x:row>
    <x:row r="711" spans="4:4" ht="14.25" customHeight="1">
      <x:c r="D711" s="5"/>
    </x:row>
    <x:row r="712" spans="4:4" ht="14.25" customHeight="1">
      <x:c r="D712" s="5"/>
    </x:row>
    <x:row r="713" spans="4:4" ht="14.25" customHeight="1">
      <x:c r="D713" s="5"/>
    </x:row>
    <x:row r="714" spans="4:4" ht="14.25" customHeight="1">
      <x:c r="D714" s="5"/>
    </x:row>
    <x:row r="715" spans="4:4" ht="14.25" customHeight="1">
      <x:c r="D715" s="5"/>
    </x:row>
    <x:row r="716" spans="4:4" ht="14.25" customHeight="1">
      <x:c r="D716" s="5"/>
    </x:row>
    <x:row r="717" spans="4:4" ht="14.25" customHeight="1">
      <x:c r="D717" s="5"/>
    </x:row>
    <x:row r="718" spans="4:4" ht="14.25" customHeight="1">
      <x:c r="D718" s="5"/>
    </x:row>
    <x:row r="719" spans="4:4" ht="14.25" customHeight="1">
      <x:c r="D719" s="5"/>
    </x:row>
    <x:row r="720" spans="4:4" ht="14.25" customHeight="1">
      <x:c r="D720" s="5"/>
    </x:row>
    <x:row r="721" spans="4:4" ht="14.25" customHeight="1">
      <x:c r="D721" s="5"/>
    </x:row>
    <x:row r="722" spans="4:4" ht="14.25" customHeight="1">
      <x:c r="D722" s="5"/>
    </x:row>
    <x:row r="723" spans="4:4" ht="14.25" customHeight="1">
      <x:c r="D723" s="5"/>
    </x:row>
    <x:row r="724" spans="4:4" ht="14.25" customHeight="1">
      <x:c r="D724" s="5"/>
    </x:row>
    <x:row r="725" spans="4:4" ht="14.25" customHeight="1">
      <x:c r="D725" s="5"/>
    </x:row>
    <x:row r="726" spans="4:4" ht="14.25" customHeight="1">
      <x:c r="D726" s="5"/>
    </x:row>
    <x:row r="727" spans="4:4" ht="14.25" customHeight="1">
      <x:c r="D727" s="5"/>
    </x:row>
    <x:row r="728" spans="4:4" ht="14.25" customHeight="1">
      <x:c r="D728" s="5"/>
    </x:row>
    <x:row r="729" spans="4:4" ht="14.25" customHeight="1">
      <x:c r="D729" s="5"/>
    </x:row>
    <x:row r="730" spans="4:4" ht="14.25" customHeight="1">
      <x:c r="D730" s="5"/>
    </x:row>
    <x:row r="731" spans="4:4" ht="14.25" customHeight="1">
      <x:c r="D731" s="5"/>
    </x:row>
    <x:row r="732" spans="4:4" ht="14.25" customHeight="1">
      <x:c r="D732" s="5"/>
    </x:row>
    <x:row r="733" spans="4:4" ht="14.25" customHeight="1">
      <x:c r="D733" s="5"/>
    </x:row>
    <x:row r="734" spans="4:4" ht="14.25" customHeight="1">
      <x:c r="D734" s="5"/>
    </x:row>
    <x:row r="735" spans="4:4" ht="14.25" customHeight="1">
      <x:c r="D735" s="5"/>
    </x:row>
    <x:row r="736" spans="4:4" ht="14.25" customHeight="1">
      <x:c r="D736" s="5"/>
    </x:row>
    <x:row r="737" spans="4:4" ht="14.25" customHeight="1">
      <x:c r="D737" s="5"/>
    </x:row>
    <x:row r="738" spans="4:4" ht="14.25" customHeight="1">
      <x:c r="D738" s="5"/>
    </x:row>
    <x:row r="739" spans="4:4" ht="14.25" customHeight="1">
      <x:c r="D739" s="5"/>
    </x:row>
    <x:row r="740" spans="4:4" ht="14.25" customHeight="1">
      <x:c r="D740" s="5"/>
    </x:row>
    <x:row r="741" spans="4:4" ht="14.25" customHeight="1">
      <x:c r="D741" s="5"/>
    </x:row>
    <x:row r="742" spans="4:4" ht="14.25" customHeight="1">
      <x:c r="D742" s="5"/>
    </x:row>
    <x:row r="743" spans="4:4" ht="14.25" customHeight="1">
      <x:c r="D743" s="5"/>
    </x:row>
    <x:row r="744" spans="4:4" ht="14.25" customHeight="1">
      <x:c r="D744" s="5"/>
    </x:row>
    <x:row r="745" spans="4:4" ht="14.25" customHeight="1">
      <x:c r="D745" s="5"/>
    </x:row>
    <x:row r="746" spans="4:4" ht="14.25" customHeight="1">
      <x:c r="D746" s="5"/>
    </x:row>
    <x:row r="747" spans="4:4" ht="14.25" customHeight="1">
      <x:c r="D747" s="5"/>
    </x:row>
    <x:row r="748" spans="4:4" ht="14.25" customHeight="1">
      <x:c r="D748" s="5"/>
    </x:row>
    <x:row r="749" spans="4:4" ht="14.25" customHeight="1">
      <x:c r="D749" s="5"/>
    </x:row>
    <x:row r="750" spans="4:4" ht="14.25" customHeight="1">
      <x:c r="D750" s="5"/>
    </x:row>
    <x:row r="751" spans="4:4" ht="14.25" customHeight="1">
      <x:c r="D751" s="5"/>
    </x:row>
    <x:row r="752" spans="4:4" ht="14.25" customHeight="1">
      <x:c r="D752" s="5"/>
    </x:row>
    <x:row r="753" spans="4:4" ht="14.25" customHeight="1">
      <x:c r="D753" s="5"/>
    </x:row>
    <x:row r="754" spans="4:4" ht="14.25" customHeight="1">
      <x:c r="D754" s="5"/>
    </x:row>
    <x:row r="755" spans="4:4" ht="14.25" customHeight="1">
      <x:c r="D755" s="5"/>
    </x:row>
    <x:row r="756" spans="4:4" ht="14.25" customHeight="1">
      <x:c r="D756" s="5"/>
    </x:row>
    <x:row r="757" spans="4:4" ht="14.25" customHeight="1">
      <x:c r="D757" s="5"/>
    </x:row>
    <x:row r="758" spans="4:4" ht="14.25" customHeight="1">
      <x:c r="D758" s="5"/>
    </x:row>
    <x:row r="759" spans="4:4" ht="14.25" customHeight="1">
      <x:c r="D759" s="5"/>
    </x:row>
    <x:row r="760" spans="4:4" ht="14.25" customHeight="1">
      <x:c r="D760" s="5"/>
    </x:row>
    <x:row r="761" spans="4:4" ht="14.25" customHeight="1">
      <x:c r="D761" s="5"/>
    </x:row>
    <x:row r="762" spans="4:4" ht="14.25" customHeight="1">
      <x:c r="D762" s="5"/>
    </x:row>
    <x:row r="763" spans="4:4" ht="14.25" customHeight="1">
      <x:c r="D763" s="5"/>
    </x:row>
    <x:row r="764" spans="4:4" ht="14.25" customHeight="1">
      <x:c r="D764" s="5"/>
    </x:row>
    <x:row r="765" spans="4:4" ht="14.25" customHeight="1">
      <x:c r="D765" s="5"/>
    </x:row>
    <x:row r="766" spans="4:4" ht="14.25" customHeight="1">
      <x:c r="D766" s="5"/>
    </x:row>
    <x:row r="767" spans="4:4" ht="14.25" customHeight="1">
      <x:c r="D767" s="5"/>
    </x:row>
    <x:row r="768" spans="4:4" ht="14.25" customHeight="1">
      <x:c r="D768" s="5"/>
    </x:row>
    <x:row r="769" spans="4:4" ht="14.25" customHeight="1">
      <x:c r="D769" s="5"/>
    </x:row>
    <x:row r="770" spans="4:4" ht="14.25" customHeight="1">
      <x:c r="D770" s="5"/>
    </x:row>
    <x:row r="771" spans="4:4" ht="14.25" customHeight="1">
      <x:c r="D771" s="5"/>
    </x:row>
    <x:row r="772" spans="4:4" ht="14.25" customHeight="1">
      <x:c r="D772" s="5"/>
    </x:row>
    <x:row r="773" spans="4:4" ht="14.25" customHeight="1">
      <x:c r="D773" s="5"/>
    </x:row>
    <x:row r="774" spans="4:4" ht="14.25" customHeight="1">
      <x:c r="D774" s="5"/>
    </x:row>
    <x:row r="775" spans="4:4" ht="14.25" customHeight="1">
      <x:c r="D775" s="5"/>
    </x:row>
    <x:row r="776" spans="4:4" ht="14.25" customHeight="1">
      <x:c r="D776" s="5"/>
    </x:row>
    <x:row r="777" spans="4:4" ht="14.25" customHeight="1">
      <x:c r="D777" s="5"/>
    </x:row>
    <x:row r="778" spans="4:4" ht="14.25" customHeight="1">
      <x:c r="D778" s="5"/>
    </x:row>
    <x:row r="779" spans="4:4" ht="14.25" customHeight="1">
      <x:c r="D779" s="5"/>
    </x:row>
    <x:row r="780" spans="4:4" ht="14.25" customHeight="1">
      <x:c r="D780" s="5"/>
    </x:row>
    <x:row r="781" spans="4:4" ht="14.25" customHeight="1">
      <x:c r="D781" s="5"/>
    </x:row>
    <x:row r="782" spans="4:4" ht="14.25" customHeight="1">
      <x:c r="D782" s="5"/>
    </x:row>
    <x:row r="783" spans="4:4" ht="14.25" customHeight="1">
      <x:c r="D783" s="5"/>
    </x:row>
    <x:row r="784" spans="4:4" ht="14.25" customHeight="1">
      <x:c r="D784" s="5"/>
    </x:row>
    <x:row r="785" spans="4:4" ht="14.25" customHeight="1">
      <x:c r="D785" s="5"/>
    </x:row>
    <x:row r="786" spans="4:4" ht="14.25" customHeight="1">
      <x:c r="D786" s="5"/>
    </x:row>
    <x:row r="787" spans="4:4" ht="14.25" customHeight="1">
      <x:c r="D787" s="5"/>
    </x:row>
    <x:row r="788" spans="4:4" ht="14.25" customHeight="1">
      <x:c r="D788" s="5"/>
    </x:row>
    <x:row r="789" spans="4:4" ht="14.25" customHeight="1">
      <x:c r="D789" s="5"/>
    </x:row>
    <x:row r="790" spans="4:4" ht="14.25" customHeight="1">
      <x:c r="D790" s="5"/>
    </x:row>
    <x:row r="791" spans="4:4" ht="14.25" customHeight="1">
      <x:c r="D791" s="5"/>
    </x:row>
    <x:row r="792" spans="4:4" ht="14.25" customHeight="1">
      <x:c r="D792" s="5"/>
    </x:row>
    <x:row r="793" spans="4:4" ht="14.25" customHeight="1">
      <x:c r="D793" s="5"/>
    </x:row>
    <x:row r="794" spans="4:4" ht="14.25" customHeight="1">
      <x:c r="D794" s="5"/>
    </x:row>
    <x:row r="795" spans="4:4" ht="14.25" customHeight="1">
      <x:c r="D795" s="5"/>
    </x:row>
    <x:row r="796" spans="4:4" ht="14.25" customHeight="1">
      <x:c r="D796" s="5"/>
    </x:row>
    <x:row r="797" spans="4:4" ht="14.25" customHeight="1">
      <x:c r="D797" s="5"/>
    </x:row>
    <x:row r="798" spans="4:4" ht="14.25" customHeight="1">
      <x:c r="D798" s="5"/>
    </x:row>
    <x:row r="799" spans="4:4" ht="14.25" customHeight="1">
      <x:c r="D799" s="5"/>
    </x:row>
    <x:row r="800" spans="4:4" ht="14.25" customHeight="1">
      <x:c r="D800" s="5"/>
    </x:row>
    <x:row r="801" spans="4:4" ht="14.25" customHeight="1">
      <x:c r="D801" s="5"/>
    </x:row>
    <x:row r="802" spans="4:4" ht="14.25" customHeight="1">
      <x:c r="D802" s="5"/>
    </x:row>
    <x:row r="803" spans="4:4" ht="14.25" customHeight="1">
      <x:c r="D803" s="5"/>
    </x:row>
    <x:row r="804" spans="4:4" ht="14.25" customHeight="1">
      <x:c r="D804" s="5"/>
    </x:row>
    <x:row r="805" spans="4:4" ht="14.25" customHeight="1">
      <x:c r="D805" s="5"/>
    </x:row>
    <x:row r="806" spans="4:4" ht="14.25" customHeight="1">
      <x:c r="D806" s="5"/>
    </x:row>
    <x:row r="807" spans="4:4" ht="14.25" customHeight="1">
      <x:c r="D807" s="5"/>
    </x:row>
    <x:row r="808" spans="4:4" ht="14.25" customHeight="1">
      <x:c r="D808" s="5"/>
    </x:row>
    <x:row r="809" spans="4:4" ht="14.25" customHeight="1">
      <x:c r="D809" s="5"/>
    </x:row>
    <x:row r="810" spans="4:4" ht="14.25" customHeight="1">
      <x:c r="D810" s="5"/>
    </x:row>
    <x:row r="811" spans="4:4" ht="14.25" customHeight="1">
      <x:c r="D811" s="5"/>
    </x:row>
    <x:row r="812" spans="4:4" ht="14.25" customHeight="1">
      <x:c r="D812" s="5"/>
    </x:row>
    <x:row r="813" spans="4:4" ht="14.25" customHeight="1">
      <x:c r="D813" s="5"/>
    </x:row>
    <x:row r="814" spans="4:4" ht="14.25" customHeight="1">
      <x:c r="D814" s="5"/>
    </x:row>
    <x:row r="815" spans="4:4" ht="14.25" customHeight="1">
      <x:c r="D815" s="5"/>
    </x:row>
    <x:row r="816" spans="4:4" ht="14.25" customHeight="1">
      <x:c r="D816" s="5"/>
    </x:row>
    <x:row r="817" spans="4:4" ht="14.25" customHeight="1">
      <x:c r="D817" s="5"/>
    </x:row>
    <x:row r="818" spans="4:4" ht="14.25" customHeight="1">
      <x:c r="D818" s="5"/>
    </x:row>
    <x:row r="819" spans="4:4" ht="14.25" customHeight="1">
      <x:c r="D819" s="5"/>
    </x:row>
    <x:row r="820" spans="4:4" ht="14.25" customHeight="1">
      <x:c r="D820" s="5"/>
    </x:row>
    <x:row r="821" spans="4:4" ht="14.25" customHeight="1">
      <x:c r="D821" s="5"/>
    </x:row>
    <x:row r="822" spans="4:4" ht="14.25" customHeight="1">
      <x:c r="D822" s="5"/>
    </x:row>
    <x:row r="823" spans="4:4" ht="14.25" customHeight="1">
      <x:c r="D823" s="5"/>
    </x:row>
    <x:row r="824" spans="4:4" ht="14.25" customHeight="1">
      <x:c r="D824" s="5"/>
    </x:row>
    <x:row r="825" spans="4:4" ht="14.25" customHeight="1">
      <x:c r="D825" s="5"/>
    </x:row>
    <x:row r="826" spans="4:4" ht="14.25" customHeight="1">
      <x:c r="D826" s="5"/>
    </x:row>
    <x:row r="827" spans="4:4" ht="14.25" customHeight="1">
      <x:c r="D827" s="5"/>
    </x:row>
    <x:row r="828" spans="4:4" ht="14.25" customHeight="1">
      <x:c r="D828" s="5"/>
    </x:row>
    <x:row r="829" spans="4:4" ht="14.25" customHeight="1">
      <x:c r="D829" s="5"/>
    </x:row>
    <x:row r="830" spans="4:4" ht="14.25" customHeight="1">
      <x:c r="D830" s="5"/>
    </x:row>
    <x:row r="831" spans="4:4" ht="14.25" customHeight="1">
      <x:c r="D831" s="5"/>
    </x:row>
    <x:row r="832" spans="4:4" ht="14.25" customHeight="1">
      <x:c r="D832" s="5"/>
    </x:row>
    <x:row r="833" spans="4:4" ht="14.25" customHeight="1">
      <x:c r="D833" s="5"/>
    </x:row>
    <x:row r="834" spans="4:4" ht="14.25" customHeight="1">
      <x:c r="D834" s="5"/>
    </x:row>
    <x:row r="835" spans="4:4" ht="14.25" customHeight="1">
      <x:c r="D835" s="5"/>
    </x:row>
    <x:row r="836" spans="4:4" ht="14.25" customHeight="1">
      <x:c r="D836" s="5"/>
    </x:row>
    <x:row r="837" spans="4:4" ht="14.25" customHeight="1">
      <x:c r="D837" s="5"/>
    </x:row>
    <x:row r="838" spans="4:4" ht="14.25" customHeight="1">
      <x:c r="D838" s="5"/>
    </x:row>
    <x:row r="839" spans="4:4" ht="14.25" customHeight="1">
      <x:c r="D839" s="5"/>
    </x:row>
    <x:row r="840" spans="4:4" ht="14.25" customHeight="1">
      <x:c r="D840" s="5"/>
    </x:row>
    <x:row r="841" spans="4:4" ht="14.25" customHeight="1">
      <x:c r="D841" s="5"/>
    </x:row>
    <x:row r="842" spans="4:4" ht="14.25" customHeight="1">
      <x:c r="D842" s="5"/>
    </x:row>
    <x:row r="843" spans="4:4" ht="14.25" customHeight="1">
      <x:c r="D843" s="5"/>
    </x:row>
    <x:row r="844" spans="4:4" ht="14.25" customHeight="1">
      <x:c r="D844" s="5"/>
    </x:row>
    <x:row r="845" spans="4:4" ht="14.25" customHeight="1">
      <x:c r="D845" s="5"/>
    </x:row>
    <x:row r="846" spans="4:4" ht="14.25" customHeight="1">
      <x:c r="D846" s="5"/>
    </x:row>
    <x:row r="847" spans="4:4" ht="14.25" customHeight="1">
      <x:c r="D847" s="5"/>
    </x:row>
    <x:row r="848" spans="4:4" ht="14.25" customHeight="1">
      <x:c r="D848" s="5"/>
    </x:row>
    <x:row r="849" spans="4:4" ht="14.25" customHeight="1">
      <x:c r="D849" s="5"/>
    </x:row>
    <x:row r="850" spans="4:4" ht="14.25" customHeight="1">
      <x:c r="D850" s="5"/>
    </x:row>
    <x:row r="851" spans="4:4" ht="14.25" customHeight="1">
      <x:c r="D851" s="5"/>
    </x:row>
    <x:row r="852" spans="4:4" ht="14.25" customHeight="1">
      <x:c r="D852" s="5"/>
    </x:row>
    <x:row r="853" spans="4:4" ht="14.25" customHeight="1">
      <x:c r="D853" s="5"/>
    </x:row>
    <x:row r="854" spans="4:4" ht="14.25" customHeight="1">
      <x:c r="D854" s="5"/>
    </x:row>
    <x:row r="855" spans="4:4" ht="14.25" customHeight="1">
      <x:c r="D855" s="5"/>
    </x:row>
    <x:row r="856" spans="4:4" ht="14.25" customHeight="1">
      <x:c r="D856" s="5"/>
    </x:row>
    <x:row r="857" spans="4:4" ht="14.25" customHeight="1">
      <x:c r="D857" s="5"/>
    </x:row>
    <x:row r="858" spans="4:4" ht="14.25" customHeight="1">
      <x:c r="D858" s="5"/>
    </x:row>
    <x:row r="859" spans="4:4" ht="14.25" customHeight="1">
      <x:c r="D859" s="5"/>
    </x:row>
    <x:row r="860" spans="4:4" ht="14.25" customHeight="1">
      <x:c r="D860" s="5"/>
    </x:row>
    <x:row r="861" spans="4:4" ht="14.25" customHeight="1">
      <x:c r="D861" s="5"/>
    </x:row>
    <x:row r="862" spans="4:4" ht="14.25" customHeight="1">
      <x:c r="D862" s="5"/>
    </x:row>
    <x:row r="863" spans="4:4" ht="14.25" customHeight="1">
      <x:c r="D863" s="5"/>
    </x:row>
    <x:row r="864" spans="4:4" ht="14.25" customHeight="1">
      <x:c r="D864" s="5"/>
    </x:row>
    <x:row r="865" spans="4:4" ht="14.25" customHeight="1">
      <x:c r="D865" s="5"/>
    </x:row>
    <x:row r="866" spans="4:4" ht="14.25" customHeight="1">
      <x:c r="D866" s="5"/>
    </x:row>
    <x:row r="867" spans="4:4" ht="14.25" customHeight="1">
      <x:c r="D867" s="5"/>
    </x:row>
    <x:row r="868" spans="4:4" ht="14.25" customHeight="1">
      <x:c r="D868" s="5"/>
    </x:row>
    <x:row r="869" spans="4:4" ht="14.25" customHeight="1">
      <x:c r="D869" s="5"/>
    </x:row>
    <x:row r="870" spans="4:4" ht="14.25" customHeight="1">
      <x:c r="D870" s="5"/>
    </x:row>
    <x:row r="871" spans="4:4" ht="14.25" customHeight="1">
      <x:c r="D871" s="5"/>
    </x:row>
    <x:row r="872" spans="4:4" ht="14.25" customHeight="1">
      <x:c r="D872" s="5"/>
    </x:row>
    <x:row r="873" spans="4:4" ht="14.25" customHeight="1">
      <x:c r="D873" s="5"/>
    </x:row>
    <x:row r="874" spans="4:4" ht="14.25" customHeight="1">
      <x:c r="D874" s="5"/>
    </x:row>
    <x:row r="875" spans="4:4" ht="14.25" customHeight="1">
      <x:c r="D875" s="5"/>
    </x:row>
    <x:row r="876" spans="4:4" ht="14.25" customHeight="1">
      <x:c r="D876" s="5"/>
    </x:row>
    <x:row r="877" spans="4:4" ht="14.25" customHeight="1">
      <x:c r="D877" s="5"/>
    </x:row>
    <x:row r="878" spans="4:4" ht="14.25" customHeight="1">
      <x:c r="D878" s="5"/>
    </x:row>
    <x:row r="879" spans="4:4" ht="14.25" customHeight="1">
      <x:c r="D879" s="5"/>
    </x:row>
    <x:row r="880" spans="4:4" ht="14.25" customHeight="1">
      <x:c r="D880" s="5"/>
    </x:row>
    <x:row r="881" spans="4:4" ht="14.25" customHeight="1">
      <x:c r="D881" s="5"/>
    </x:row>
    <x:row r="882" spans="4:4" ht="14.25" customHeight="1">
      <x:c r="D882" s="5"/>
    </x:row>
    <x:row r="883" spans="4:4" ht="14.25" customHeight="1">
      <x:c r="D883" s="5"/>
    </x:row>
    <x:row r="884" spans="4:4" ht="14.25" customHeight="1">
      <x:c r="D884" s="5"/>
    </x:row>
    <x:row r="885" spans="4:4" ht="14.25" customHeight="1">
      <x:c r="D885" s="5"/>
    </x:row>
    <x:row r="886" spans="4:4" ht="14.25" customHeight="1">
      <x:c r="D886" s="5"/>
    </x:row>
    <x:row r="887" spans="4:4" ht="14.25" customHeight="1">
      <x:c r="D887" s="5"/>
    </x:row>
    <x:row r="888" spans="4:4" ht="14.25" customHeight="1">
      <x:c r="D888" s="5"/>
    </x:row>
    <x:row r="889" spans="4:4" ht="14.25" customHeight="1">
      <x:c r="D889" s="5"/>
    </x:row>
    <x:row r="890" spans="4:4" ht="14.25" customHeight="1">
      <x:c r="D890" s="5"/>
    </x:row>
    <x:row r="891" spans="4:4" ht="14.25" customHeight="1">
      <x:c r="D891" s="5"/>
    </x:row>
    <x:row r="892" spans="4:4" ht="14.25" customHeight="1">
      <x:c r="D892" s="5"/>
    </x:row>
    <x:row r="893" spans="4:4" ht="14.25" customHeight="1">
      <x:c r="D893" s="5"/>
    </x:row>
    <x:row r="894" spans="4:4" ht="14.25" customHeight="1">
      <x:c r="D894" s="5"/>
    </x:row>
    <x:row r="895" spans="4:4" ht="14.25" customHeight="1">
      <x:c r="D895" s="5"/>
    </x:row>
    <x:row r="896" spans="4:4" ht="14.25" customHeight="1">
      <x:c r="D896" s="5"/>
    </x:row>
    <x:row r="897" spans="4:4" ht="14.25" customHeight="1">
      <x:c r="D897" s="5"/>
    </x:row>
    <x:row r="898" spans="4:4" ht="14.25" customHeight="1">
      <x:c r="D898" s="5"/>
    </x:row>
    <x:row r="899" spans="4:4" ht="14.25" customHeight="1">
      <x:c r="D899" s="5"/>
    </x:row>
    <x:row r="900" spans="4:4" ht="14.25" customHeight="1">
      <x:c r="D900" s="5"/>
    </x:row>
    <x:row r="901" spans="4:4" ht="14.25" customHeight="1">
      <x:c r="D901" s="5"/>
    </x:row>
    <x:row r="902" spans="4:4" ht="14.25" customHeight="1">
      <x:c r="D902" s="5"/>
    </x:row>
    <x:row r="903" spans="4:4" ht="14.25" customHeight="1">
      <x:c r="D903" s="5"/>
    </x:row>
    <x:row r="904" spans="4:4" ht="14.25" customHeight="1">
      <x:c r="D904" s="5"/>
    </x:row>
    <x:row r="905" spans="4:4" ht="14.25" customHeight="1">
      <x:c r="D905" s="5"/>
    </x:row>
    <x:row r="906" spans="4:4" ht="14.25" customHeight="1">
      <x:c r="D906" s="5"/>
    </x:row>
    <x:row r="907" spans="4:4" ht="14.25" customHeight="1">
      <x:c r="D907" s="5"/>
    </x:row>
    <x:row r="908" spans="4:4" ht="14.25" customHeight="1">
      <x:c r="D908" s="5"/>
    </x:row>
    <x:row r="909" spans="4:4" ht="14.25" customHeight="1">
      <x:c r="D909" s="5"/>
    </x:row>
    <x:row r="910" spans="4:4" ht="14.25" customHeight="1">
      <x:c r="D910" s="5"/>
    </x:row>
    <x:row r="911" spans="4:4" ht="14.25" customHeight="1">
      <x:c r="D911" s="5"/>
    </x:row>
    <x:row r="912" spans="4:4" ht="14.25" customHeight="1">
      <x:c r="D912" s="5"/>
    </x:row>
    <x:row r="913" spans="4:4" ht="14.25" customHeight="1">
      <x:c r="D913" s="5"/>
    </x:row>
    <x:row r="914" spans="4:4" ht="14.25" customHeight="1">
      <x:c r="D914" s="5"/>
    </x:row>
    <x:row r="915" spans="4:4" ht="14.25" customHeight="1">
      <x:c r="D915" s="5"/>
    </x:row>
    <x:row r="916" spans="4:4" ht="14.25" customHeight="1">
      <x:c r="D916" s="5"/>
    </x:row>
    <x:row r="917" spans="4:4" ht="14.25" customHeight="1">
      <x:c r="D917" s="5"/>
    </x:row>
    <x:row r="918" spans="4:4" ht="14.25" customHeight="1">
      <x:c r="D918" s="5"/>
    </x:row>
    <x:row r="919" spans="4:4" ht="14.25" customHeight="1">
      <x:c r="D919" s="5"/>
    </x:row>
    <x:row r="920" spans="4:4" ht="14.25" customHeight="1">
      <x:c r="D920" s="5"/>
    </x:row>
    <x:row r="921" spans="4:4" ht="14.25" customHeight="1">
      <x:c r="D921" s="5"/>
    </x:row>
    <x:row r="922" spans="4:4" ht="14.25" customHeight="1">
      <x:c r="D922" s="5"/>
    </x:row>
    <x:row r="923" spans="4:4" ht="14.25" customHeight="1">
      <x:c r="D923" s="5"/>
    </x:row>
    <x:row r="924" spans="4:4" ht="14.25" customHeight="1">
      <x:c r="D924" s="5"/>
    </x:row>
    <x:row r="925" spans="4:4" ht="14.25" customHeight="1">
      <x:c r="D925" s="5"/>
    </x:row>
    <x:row r="926" spans="4:4" ht="14.25" customHeight="1">
      <x:c r="D926" s="5"/>
    </x:row>
    <x:row r="927" spans="4:4" ht="14.25" customHeight="1">
      <x:c r="D927" s="5"/>
    </x:row>
    <x:row r="928" spans="4:4" ht="14.25" customHeight="1">
      <x:c r="D928" s="5"/>
    </x:row>
    <x:row r="929" spans="4:4" ht="14.25" customHeight="1">
      <x:c r="D929" s="5"/>
    </x:row>
    <x:row r="930" spans="4:4" ht="14.25" customHeight="1">
      <x:c r="D930" s="5"/>
    </x:row>
    <x:row r="931" spans="4:4" ht="14.25" customHeight="1">
      <x:c r="D931" s="5"/>
    </x:row>
    <x:row r="932" spans="4:4" ht="14.25" customHeight="1">
      <x:c r="D932" s="5"/>
    </x:row>
    <x:row r="933" spans="4:4" ht="14.25" customHeight="1">
      <x:c r="D933" s="5"/>
    </x:row>
    <x:row r="934" spans="4:4" ht="14.25" customHeight="1">
      <x:c r="D934" s="5"/>
    </x:row>
    <x:row r="935" spans="4:4" ht="14.25" customHeight="1">
      <x:c r="D935" s="5"/>
    </x:row>
    <x:row r="936" spans="4:4" ht="14.25" customHeight="1">
      <x:c r="D936" s="5"/>
    </x:row>
    <x:row r="937" spans="4:4" ht="14.25" customHeight="1">
      <x:c r="D937" s="5"/>
    </x:row>
    <x:row r="938" spans="4:4" ht="14.25" customHeight="1">
      <x:c r="D938" s="5"/>
    </x:row>
    <x:row r="939" spans="4:4" ht="14.25" customHeight="1">
      <x:c r="D939" s="5"/>
    </x:row>
    <x:row r="940" spans="4:4" ht="14.25" customHeight="1">
      <x:c r="D940" s="5"/>
    </x:row>
    <x:row r="941" spans="4:4" ht="14.25" customHeight="1">
      <x:c r="D941" s="5"/>
    </x:row>
    <x:row r="942" spans="4:4" ht="14.25" customHeight="1">
      <x:c r="D942" s="5"/>
    </x:row>
    <x:row r="943" spans="4:4" ht="14.25" customHeight="1">
      <x:c r="D943" s="5"/>
    </x:row>
    <x:row r="944" spans="4:4" ht="14.25" customHeight="1">
      <x:c r="D944" s="5"/>
    </x:row>
    <x:row r="945" spans="4:4" ht="14.25" customHeight="1">
      <x:c r="D945" s="5"/>
    </x:row>
    <x:row r="946" spans="4:4" ht="14.25" customHeight="1">
      <x:c r="D946" s="5"/>
    </x:row>
    <x:row r="947" spans="4:4" ht="14.25" customHeight="1">
      <x:c r="D947" s="5"/>
    </x:row>
    <x:row r="948" spans="4:4" ht="14.25" customHeight="1">
      <x:c r="D948" s="5"/>
    </x:row>
    <x:row r="949" spans="4:4" ht="14.25" customHeight="1">
      <x:c r="D949" s="5"/>
    </x:row>
    <x:row r="950" spans="4:4" ht="14.25" customHeight="1">
      <x:c r="D950" s="5"/>
    </x:row>
    <x:row r="951" spans="4:4" ht="14.25" customHeight="1">
      <x:c r="D951" s="5"/>
    </x:row>
    <x:row r="952" spans="4:4" ht="14.25" customHeight="1">
      <x:c r="D952" s="5"/>
    </x:row>
    <x:row r="953" spans="4:4" ht="14.25" customHeight="1">
      <x:c r="D953" s="5"/>
    </x:row>
    <x:row r="954" spans="4:4" ht="14.25" customHeight="1">
      <x:c r="D954" s="5"/>
    </x:row>
    <x:row r="955" spans="4:4" ht="14.25" customHeight="1">
      <x:c r="D955" s="5"/>
    </x:row>
    <x:row r="956" spans="4:4" ht="14.25" customHeight="1">
      <x:c r="D956" s="5"/>
    </x:row>
    <x:row r="957" spans="4:4" ht="14.25" customHeight="1">
      <x:c r="D957" s="5"/>
    </x:row>
    <x:row r="958" spans="4:4" ht="14.25" customHeight="1">
      <x:c r="D958" s="5"/>
    </x:row>
    <x:row r="959" spans="4:4" ht="14.25" customHeight="1">
      <x:c r="D959" s="5"/>
    </x:row>
    <x:row r="960" spans="4:4" ht="14.25" customHeight="1">
      <x:c r="D960" s="5"/>
    </x:row>
    <x:row r="961" spans="4:4" ht="14.25" customHeight="1">
      <x:c r="D961" s="5"/>
    </x:row>
    <x:row r="962" spans="4:4" ht="14.25" customHeight="1">
      <x:c r="D962" s="5"/>
    </x:row>
    <x:row r="963" spans="4:4" ht="14.25" customHeight="1">
      <x:c r="D963" s="5"/>
    </x:row>
    <x:row r="964" spans="4:4" ht="14.25" customHeight="1">
      <x:c r="D964" s="5"/>
    </x:row>
    <x:row r="965" spans="4:4" ht="14.25" customHeight="1">
      <x:c r="D965" s="5"/>
    </x:row>
    <x:row r="966" spans="4:4" ht="14.25" customHeight="1">
      <x:c r="D966" s="5"/>
    </x:row>
    <x:row r="967" spans="4:4" ht="14.25" customHeight="1">
      <x:c r="D967" s="5"/>
    </x:row>
    <x:row r="968" spans="4:4" ht="14.25" customHeight="1">
      <x:c r="D968" s="5"/>
    </x:row>
    <x:row r="969" spans="4:4" ht="14.25" customHeight="1">
      <x:c r="D969" s="5"/>
    </x:row>
    <x:row r="970" spans="4:4" ht="14.25" customHeight="1">
      <x:c r="D970" s="5"/>
    </x:row>
    <x:row r="971" spans="4:4" ht="14.25" customHeight="1">
      <x:c r="D971" s="5"/>
    </x:row>
    <x:row r="972" spans="4:4" ht="14.25" customHeight="1">
      <x:c r="D972" s="5"/>
    </x:row>
    <x:row r="973" spans="4:4" ht="14.25" customHeight="1">
      <x:c r="D973" s="5"/>
    </x:row>
    <x:row r="974" spans="4:4" ht="14.25" customHeight="1">
      <x:c r="D974" s="5"/>
    </x:row>
    <x:row r="975" spans="4:4" ht="14.25" customHeight="1">
      <x:c r="D975" s="5"/>
    </x:row>
    <x:row r="976" spans="4:4" ht="14.25" customHeight="1">
      <x:c r="D976" s="5"/>
    </x:row>
    <x:row r="977" spans="4:4" ht="14.25" customHeight="1">
      <x:c r="D977" s="5"/>
    </x:row>
    <x:row r="978" spans="4:4" ht="14.25" customHeight="1">
      <x:c r="D978" s="5"/>
    </x:row>
    <x:row r="979" spans="4:4" ht="14.25" customHeight="1">
      <x:c r="D979" s="5"/>
    </x:row>
    <x:row r="980" spans="4:4" ht="14.25" customHeight="1">
      <x:c r="D980" s="5"/>
    </x:row>
    <x:row r="981" spans="4:4" ht="14.25" customHeight="1">
      <x:c r="D981" s="5"/>
    </x:row>
    <x:row r="982" spans="4:4" ht="14.25" customHeight="1">
      <x:c r="D982" s="5"/>
    </x:row>
    <x:row r="983" spans="4:4" ht="14.25" customHeight="1">
      <x:c r="D983" s="5"/>
    </x:row>
    <x:row r="984" spans="4:4" ht="14.25" customHeight="1">
      <x:c r="D984" s="5"/>
    </x:row>
    <x:row r="985" spans="4:4" ht="14.25" customHeight="1">
      <x:c r="D985" s="5"/>
    </x:row>
    <x:row r="986" spans="4:4" ht="14.25" customHeight="1">
      <x:c r="D986" s="5"/>
    </x:row>
    <x:row r="987" spans="4:4" ht="14.25" customHeight="1">
      <x:c r="D987" s="5"/>
    </x:row>
    <x:row r="988" spans="4:4" ht="14.25" customHeight="1">
      <x:c r="D988" s="5"/>
    </x:row>
    <x:row r="989" spans="4:4" ht="14.25" customHeight="1">
      <x:c r="D989" s="5"/>
    </x:row>
    <x:row r="990" spans="4:4" ht="14.25" customHeight="1">
      <x:c r="D990" s="5"/>
    </x:row>
    <x:row r="991" spans="4:4" ht="14.25" customHeight="1">
      <x:c r="D991" s="5"/>
    </x:row>
    <x:row r="992" spans="4:4" ht="14.25" customHeight="1">
      <x:c r="D992" s="5"/>
    </x:row>
    <x:row r="993" spans="4:4" ht="14.25" customHeight="1">
      <x:c r="D993" s="5"/>
    </x:row>
    <x:row r="994" spans="4:4" ht="14.25" customHeight="1">
      <x:c r="D994" s="5"/>
    </x:row>
    <x:row r="995" spans="4:4" ht="14.25" customHeight="1">
      <x:c r="D995" s="5"/>
    </x:row>
    <x:row r="996" spans="4:4" ht="14.25" customHeight="1">
      <x:c r="D996" s="5"/>
    </x:row>
    <x:row r="997" spans="4:4" ht="14.25" customHeight="1">
      <x:c r="D997" s="5"/>
    </x:row>
    <x:row r="998" spans="4:4" ht="14.25" customHeight="1">
      <x:c r="D998" s="5"/>
    </x:row>
    <x:row r="999" spans="4:4" ht="14.25" customHeight="1">
      <x:c r="D999" s="5"/>
    </x:row>
    <x:row r="1000" spans="4:4" ht="14.25" customHeight="1">
      <x:c r="D1000" s="5"/>
    </x:row>
  </x:sheetData>
  <x:pageMargins left="0.74805557727813721" right="0.74805557727813721" top="0.98430556058883667" bottom="0.98430556058883667" header="0" footer="0"/>
  <x:pageSetup paperSize="9" scale="100" firstPageNumber="1" fitToWidth="1" fitToHeight="1" orientation="portrait" usePrinterDefaults="1" blackAndWhite="0" draft="0" useFirstPageNumber="0" horizontalDpi="600" verticalDpi="600" copies="1"/>
  <x:rowBreaks count="1" manualBreakCount="1">
    <x:brk id="50" min="0" max="1048575" man="1" pt="0"/>
  </x:row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Sheet1 (2)</vt:lpstr>
    </vt:vector>
  </ep:TitlesOfParts>
  <ep:TotalTime>48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이명희</dc:creator>
  <cp:lastModifiedBy>HUYNJIN PARK</cp:lastModifiedBy>
  <cp:revision>6</cp:revision>
  <dcterms:created xsi:type="dcterms:W3CDTF">2024-12-30T04:48:58.000</dcterms:created>
  <dcterms:modified xsi:type="dcterms:W3CDTF">2025-12-15T05:25:31.124</dcterms:modified>
  <cp:version>1100.0100.01</cp:version>
</cp:coreProperties>
</file>